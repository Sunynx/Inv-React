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n\Desktop\"/>
    </mc:Choice>
  </mc:AlternateContent>
  <xr:revisionPtr revIDLastSave="0" documentId="13_ncr:1_{3653E237-1E07-4F82-B86D-651FB51F8AC6}" xr6:coauthVersionLast="47" xr6:coauthVersionMax="47" xr10:uidLastSave="{00000000-0000-0000-0000-000000000000}"/>
  <bookViews>
    <workbookView xWindow="-108" yWindow="-108" windowWidth="30936" windowHeight="16776" tabRatio="764" activeTab="9" xr2:uid="{C44042B3-D9FD-477F-B241-C5806EFA7CEB}"/>
  </bookViews>
  <sheets>
    <sheet name="Dashboard" sheetId="2" r:id="rId1"/>
    <sheet name="License Register" sheetId="1" r:id="rId2"/>
    <sheet name="Microsoft 365" sheetId="5" r:id="rId3"/>
    <sheet name="Acrobat Pro" sheetId="4" r:id="rId4"/>
    <sheet name="Lists" sheetId="3" state="hidden" r:id="rId5"/>
    <sheet name="Trimble SketchUp" sheetId="6" r:id="rId6"/>
    <sheet name="Autodesk CAD LT" sheetId="7" r:id="rId7"/>
    <sheet name="Primavera P6" sheetId="8" r:id="rId8"/>
    <sheet name="Chart Data" sheetId="9" state="hidden" r:id="rId9"/>
    <sheet name="License Raw Data" sheetId="10" r:id="rId10"/>
  </sheets>
  <definedNames>
    <definedName name="BillingCycles">Lists!$D$2:$D$5</definedName>
    <definedName name="Currencies">Lists!$E$2:$E$7</definedName>
    <definedName name="Departments">Lists!$F$2:$F$8</definedName>
    <definedName name="LicenseCategories">Lists!$A$2:$A$8</definedName>
    <definedName name="LicenseTypes">Lists!$B$2:$B$8</definedName>
    <definedName name="RenewalTypes">Lists!$C$2:$C$4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0" i="8" l="1"/>
  <c r="H10" i="7"/>
  <c r="H11" i="7"/>
  <c r="H12" i="7"/>
  <c r="H13" i="7"/>
  <c r="H14" i="7"/>
  <c r="H10" i="6"/>
  <c r="H11" i="6"/>
  <c r="H10" i="4"/>
  <c r="H11" i="4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A4" i="2"/>
  <c r="I118" i="5"/>
  <c r="H10" i="1"/>
  <c r="F10" i="8"/>
  <c r="F5" i="8" s="1"/>
  <c r="G12" i="1" s="1"/>
  <c r="H12" i="1" s="1"/>
  <c r="F10" i="7"/>
  <c r="F11" i="7"/>
  <c r="F12" i="7"/>
  <c r="F13" i="7"/>
  <c r="F14" i="7"/>
  <c r="F10" i="6"/>
  <c r="F11" i="6"/>
  <c r="F10" i="4"/>
  <c r="F11" i="4"/>
  <c r="F10" i="5"/>
  <c r="J15" i="5"/>
  <c r="F9" i="5" s="1"/>
  <c r="J16" i="5"/>
  <c r="F8" i="5" s="1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L29" i="2"/>
  <c r="J28" i="2"/>
  <c r="J27" i="2"/>
  <c r="J26" i="2"/>
  <c r="D4" i="2"/>
  <c r="A2" i="9"/>
  <c r="A3" i="9"/>
  <c r="A4" i="9"/>
  <c r="A5" i="9"/>
  <c r="A6" i="9"/>
  <c r="A7" i="9"/>
  <c r="A8" i="9"/>
  <c r="A9" i="9"/>
  <c r="A10" i="9"/>
  <c r="A11" i="9"/>
  <c r="A12" i="9"/>
  <c r="N5" i="6"/>
  <c r="I10" i="8"/>
  <c r="B5" i="7"/>
  <c r="I10" i="4"/>
  <c r="L10" i="1"/>
  <c r="P10" i="1"/>
  <c r="I10" i="7"/>
  <c r="I11" i="7"/>
  <c r="I12" i="7"/>
  <c r="I13" i="7"/>
  <c r="I14" i="7"/>
  <c r="I10" i="6"/>
  <c r="I11" i="6"/>
  <c r="I11" i="4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114" i="5"/>
  <c r="I115" i="5"/>
  <c r="I116" i="5"/>
  <c r="I117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6" i="5"/>
  <c r="I15" i="5"/>
  <c r="M5" i="8"/>
  <c r="M5" i="7"/>
  <c r="M5" i="6"/>
  <c r="M5" i="4"/>
  <c r="M5" i="5"/>
  <c r="M6" i="5"/>
  <c r="M7" i="5"/>
  <c r="M8" i="5"/>
  <c r="M9" i="5"/>
  <c r="M10" i="5"/>
  <c r="N10" i="5"/>
  <c r="L10" i="5"/>
  <c r="J10" i="5"/>
  <c r="I10" i="5"/>
  <c r="H10" i="5"/>
  <c r="E10" i="5"/>
  <c r="B10" i="5"/>
  <c r="L13" i="1"/>
  <c r="K10" i="5" s="1"/>
  <c r="P13" i="1"/>
  <c r="O10" i="5" s="1"/>
  <c r="J5" i="8"/>
  <c r="J6" i="8" s="1"/>
  <c r="N5" i="8"/>
  <c r="L5" i="8"/>
  <c r="I5" i="8"/>
  <c r="H5" i="8"/>
  <c r="E5" i="8"/>
  <c r="B5" i="8"/>
  <c r="N5" i="7"/>
  <c r="L5" i="7"/>
  <c r="J5" i="7"/>
  <c r="J6" i="7" s="1"/>
  <c r="I5" i="7"/>
  <c r="H5" i="7"/>
  <c r="E5" i="7"/>
  <c r="L5" i="6"/>
  <c r="J5" i="6"/>
  <c r="J6" i="6" s="1"/>
  <c r="I5" i="6"/>
  <c r="H5" i="6"/>
  <c r="E5" i="6"/>
  <c r="B5" i="6"/>
  <c r="N5" i="4"/>
  <c r="L5" i="4"/>
  <c r="J5" i="4"/>
  <c r="J6" i="4" s="1"/>
  <c r="I5" i="4"/>
  <c r="H5" i="4"/>
  <c r="E5" i="4"/>
  <c r="B5" i="4"/>
  <c r="N5" i="5"/>
  <c r="N6" i="5"/>
  <c r="N7" i="5"/>
  <c r="N8" i="5"/>
  <c r="N9" i="5"/>
  <c r="L5" i="5"/>
  <c r="L6" i="5"/>
  <c r="L7" i="5"/>
  <c r="L8" i="5"/>
  <c r="L9" i="5"/>
  <c r="J5" i="5"/>
  <c r="J11" i="5" s="1"/>
  <c r="J6" i="5"/>
  <c r="J7" i="5"/>
  <c r="J8" i="5"/>
  <c r="J9" i="5"/>
  <c r="I5" i="5"/>
  <c r="I6" i="5"/>
  <c r="I7" i="5"/>
  <c r="I8" i="5"/>
  <c r="I9" i="5"/>
  <c r="H5" i="5"/>
  <c r="H6" i="5"/>
  <c r="H7" i="5"/>
  <c r="H8" i="5"/>
  <c r="H9" i="5"/>
  <c r="E5" i="5"/>
  <c r="E6" i="5"/>
  <c r="E7" i="5"/>
  <c r="E8" i="5"/>
  <c r="E9" i="5"/>
  <c r="B5" i="5"/>
  <c r="B6" i="5"/>
  <c r="B7" i="5"/>
  <c r="B8" i="5"/>
  <c r="B9" i="5"/>
  <c r="L6" i="1"/>
  <c r="K9" i="5" s="1"/>
  <c r="P6" i="1"/>
  <c r="O9" i="5" s="1"/>
  <c r="L7" i="1"/>
  <c r="K8" i="5" s="1"/>
  <c r="P7" i="1"/>
  <c r="O8" i="5" s="1"/>
  <c r="L9" i="1"/>
  <c r="K7" i="5" s="1"/>
  <c r="P9" i="1"/>
  <c r="O7" i="5" s="1"/>
  <c r="L11" i="1"/>
  <c r="K6" i="5" s="1"/>
  <c r="P11" i="1"/>
  <c r="O6" i="5" s="1"/>
  <c r="L12" i="1"/>
  <c r="K5" i="8" s="1"/>
  <c r="K6" i="8" s="1"/>
  <c r="P12" i="1"/>
  <c r="O5" i="8" s="1"/>
  <c r="O6" i="8" s="1"/>
  <c r="L5" i="1"/>
  <c r="K5" i="7" s="1"/>
  <c r="K6" i="7" s="1"/>
  <c r="P5" i="1"/>
  <c r="O5" i="7" s="1"/>
  <c r="O6" i="7" s="1"/>
  <c r="L14" i="1"/>
  <c r="K5" i="6" s="1"/>
  <c r="K6" i="6" s="1"/>
  <c r="P14" i="1"/>
  <c r="O5" i="6" s="1"/>
  <c r="O6" i="6" s="1"/>
  <c r="P8" i="1"/>
  <c r="O5" i="5" s="1"/>
  <c r="P4" i="1"/>
  <c r="O5" i="4" s="1"/>
  <c r="O6" i="4" s="1"/>
  <c r="L4" i="1"/>
  <c r="K5" i="4" s="1"/>
  <c r="K6" i="4" s="1"/>
  <c r="L8" i="1"/>
  <c r="K5" i="5" s="1"/>
  <c r="K11" i="5" s="1"/>
  <c r="F5" i="6" l="1"/>
  <c r="G14" i="1" s="1"/>
  <c r="C12" i="9" s="1"/>
  <c r="O11" i="5"/>
  <c r="F5" i="4"/>
  <c r="G4" i="1" s="1"/>
  <c r="H4" i="1" s="1"/>
  <c r="F6" i="5"/>
  <c r="G11" i="1" s="1"/>
  <c r="H11" i="1" s="1"/>
  <c r="F7" i="5"/>
  <c r="G9" i="1" s="1"/>
  <c r="H9" i="1" s="1"/>
  <c r="L26" i="2"/>
  <c r="A26" i="2" a="1"/>
  <c r="A26" i="2" s="1"/>
  <c r="F5" i="7"/>
  <c r="G5" i="1" s="1"/>
  <c r="H5" i="1" s="1"/>
  <c r="D3" i="9" s="1"/>
  <c r="G5" i="6"/>
  <c r="G5" i="8"/>
  <c r="F5" i="5"/>
  <c r="G8" i="1" s="1"/>
  <c r="H8" i="1" s="1"/>
  <c r="D6" i="9" s="1"/>
  <c r="B12" i="9"/>
  <c r="G9" i="5"/>
  <c r="B7" i="9"/>
  <c r="B9" i="9"/>
  <c r="B6" i="9"/>
  <c r="G8" i="5"/>
  <c r="B4" i="9"/>
  <c r="B10" i="9"/>
  <c r="B11" i="9"/>
  <c r="B3" i="9"/>
  <c r="B2" i="9"/>
  <c r="B8" i="9"/>
  <c r="M4" i="2"/>
  <c r="B5" i="9"/>
  <c r="G10" i="5"/>
  <c r="G7" i="1"/>
  <c r="C5" i="9" s="1"/>
  <c r="C8" i="9"/>
  <c r="D8" i="9"/>
  <c r="G6" i="1"/>
  <c r="C4" i="9" s="1"/>
  <c r="G13" i="1"/>
  <c r="H13" i="1" s="1"/>
  <c r="L28" i="2"/>
  <c r="D2" i="9"/>
  <c r="L27" i="2"/>
  <c r="C2" i="9" l="1"/>
  <c r="G5" i="4"/>
  <c r="D7" i="9"/>
  <c r="H14" i="1"/>
  <c r="G6" i="5"/>
  <c r="C7" i="9"/>
  <c r="G7" i="5"/>
  <c r="C3" i="9"/>
  <c r="G5" i="7"/>
  <c r="G5" i="5"/>
  <c r="C6" i="9"/>
  <c r="D12" i="9"/>
  <c r="J29" i="2"/>
  <c r="H6" i="1"/>
  <c r="D4" i="9" s="1"/>
  <c r="C9" i="9"/>
  <c r="H7" i="1"/>
  <c r="D9" i="9" s="1"/>
  <c r="D11" i="9"/>
  <c r="C11" i="9"/>
  <c r="C10" i="9"/>
  <c r="G4" i="2"/>
  <c r="D5" i="9" l="1"/>
  <c r="J4" i="2"/>
  <c r="D10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<sst xmlns="http://schemas.openxmlformats.org/spreadsheetml/2006/main" count="2368" uniqueCount="411">
  <si>
    <t>LICENSE MANAGEMENT DASHBOARD</t>
  </si>
  <si>
    <t>SOFTWARE LICENSE REGISTER</t>
  </si>
  <si>
    <t>Product / Service</t>
  </si>
  <si>
    <t>Vendor</t>
  </si>
  <si>
    <t>Category</t>
  </si>
  <si>
    <t>License Type</t>
  </si>
  <si>
    <t>License Key / Contract Ref</t>
  </si>
  <si>
    <t>Total Seats</t>
  </si>
  <si>
    <t>Assigned Seats</t>
  </si>
  <si>
    <t>Available Seats</t>
  </si>
  <si>
    <t>Purchase Date</t>
  </si>
  <si>
    <t>Start Date</t>
  </si>
  <si>
    <t>Expiry Date</t>
  </si>
  <si>
    <t>Renewal Type</t>
  </si>
  <si>
    <t>Billing Cycle</t>
  </si>
  <si>
    <t>Unit Cost</t>
  </si>
  <si>
    <t>Currency</t>
  </si>
  <si>
    <t>Annual Cost</t>
  </si>
  <si>
    <t>Owner</t>
  </si>
  <si>
    <t>Department</t>
  </si>
  <si>
    <t>Status</t>
  </si>
  <si>
    <t>Notes</t>
  </si>
  <si>
    <t>Last Updated</t>
  </si>
  <si>
    <t>Productivity</t>
  </si>
  <si>
    <t>Subscription</t>
  </si>
  <si>
    <t>Auto Renew</t>
  </si>
  <si>
    <t>Annual</t>
  </si>
  <si>
    <t>USD</t>
  </si>
  <si>
    <t>IT Admin</t>
  </si>
  <si>
    <t>IT</t>
  </si>
  <si>
    <t>Monthly</t>
  </si>
  <si>
    <t>THB</t>
  </si>
  <si>
    <t>Security</t>
  </si>
  <si>
    <t>Perpetual</t>
  </si>
  <si>
    <t>Manual</t>
  </si>
  <si>
    <t>Quarterly</t>
  </si>
  <si>
    <t>HR</t>
  </si>
  <si>
    <t>Cloud / SaaS</t>
  </si>
  <si>
    <t>Volume</t>
  </si>
  <si>
    <t>No Renewal</t>
  </si>
  <si>
    <t>EUR</t>
  </si>
  <si>
    <t>Finance</t>
  </si>
  <si>
    <t>Development</t>
  </si>
  <si>
    <t>Concurrent</t>
  </si>
  <si>
    <t>One-time</t>
  </si>
  <si>
    <t>GBP</t>
  </si>
  <si>
    <t>Sales</t>
  </si>
  <si>
    <t>Infrastructure</t>
  </si>
  <si>
    <t>Named User</t>
  </si>
  <si>
    <t>JPY</t>
  </si>
  <si>
    <t>Operations</t>
  </si>
  <si>
    <t>Design</t>
  </si>
  <si>
    <t>Device-based</t>
  </si>
  <si>
    <t>SGD</t>
  </si>
  <si>
    <t>Marketing</t>
  </si>
  <si>
    <t>Other</t>
  </si>
  <si>
    <t>Site License</t>
  </si>
  <si>
    <t>Active</t>
  </si>
  <si>
    <t>Acrobat Pro for teams Subscription</t>
  </si>
  <si>
    <t>Seat No.</t>
  </si>
  <si>
    <t>User Name</t>
  </si>
  <si>
    <t>Device / Hostname</t>
  </si>
  <si>
    <t>Assigned Date</t>
  </si>
  <si>
    <t>Assignment Status</t>
  </si>
  <si>
    <t>nonglaki@royalphuketmarina.com</t>
  </si>
  <si>
    <t>Nonglak Intarat</t>
  </si>
  <si>
    <t>RPM PDFAPPS</t>
  </si>
  <si>
    <t>rpmapps2002@gmail.com</t>
  </si>
  <si>
    <t>Trimble SketchUp</t>
  </si>
  <si>
    <t>Detail Sheet</t>
  </si>
  <si>
    <t>Microsoft 365</t>
  </si>
  <si>
    <t>Acrobat Pro</t>
  </si>
  <si>
    <t>Primavera P6</t>
  </si>
  <si>
    <t>Power BI Pro</t>
  </si>
  <si>
    <t>AppliCAD</t>
  </si>
  <si>
    <t xml:space="preserve"> Include Update Assurance 1 Year
 Local Support 1 Year
 Software upgrades and support services 1 Year
 Supported by a Thai team in addition to Oracle Support 1 Year
(Updates such as 1.1.1, 1.1.2, etc., are available for one year. Updates will not be possible without renewal.)</t>
  </si>
  <si>
    <t>Autodesk CAD LT</t>
  </si>
  <si>
    <t>Microsoft 365 NEC - Business Standard</t>
  </si>
  <si>
    <t>Microsoft 365 NEC - Copilot Business</t>
  </si>
  <si>
    <t>Microsoft 365 NCE - OneDrive for Business (Plan 2)</t>
  </si>
  <si>
    <t>Microsoft 365 NCE - Exchange Online (Plan 2)</t>
  </si>
  <si>
    <t>MICROSOFT — LICENSE &amp; USER ASSIGNMENTS</t>
  </si>
  <si>
    <t>Account / Email</t>
  </si>
  <si>
    <t>ACROBAT PRO — LICENSE &amp; USER ASSIGNMENTS</t>
  </si>
  <si>
    <t>TRIMBLE SKETCHUP — LICENSE &amp; USER ASSIGNMENTS</t>
  </si>
  <si>
    <t>AUTODESK CAD LT — LICENSE &amp; USER ASSIGNMENTS</t>
  </si>
  <si>
    <t>PRIMAVERA P6 — LICENSE &amp; USER ASSIGNMENTS</t>
  </si>
  <si>
    <t>Antonio</t>
  </si>
  <si>
    <t>Local</t>
  </si>
  <si>
    <t>Macbook Antonio</t>
  </si>
  <si>
    <t>LICENSE AND RENEWAL DETAILS (Enter Purchase / Start / Expiry Dates on this sheet)</t>
  </si>
  <si>
    <t>Project Professional 2024</t>
  </si>
  <si>
    <t>-</t>
  </si>
  <si>
    <t>Project</t>
  </si>
  <si>
    <t>Apisit Prakaiphetkul</t>
  </si>
  <si>
    <t xml:space="preserve">
Zarni Shein</t>
  </si>
  <si>
    <t>apisitp@royalphuketmarina.com</t>
  </si>
  <si>
    <t>zarni@royalphuketmarina.com</t>
  </si>
  <si>
    <t>Expiry Status</t>
  </si>
  <si>
    <t>MICROSOFT LICENSE ASSIGNMENTS (104 SEATS) — INDIVIDUAL EXPIRY TRACKING</t>
  </si>
  <si>
    <t>LICENSE ASSIGNMENTS (2 SEATS) — INDIVIDUAL EXPIRY TRACKING</t>
  </si>
  <si>
    <t>LICENSE ASSIGNMENTS (5 SEATS) — INDIVIDUAL EXPIRY TRACKING</t>
  </si>
  <si>
    <t>LICENSE ASSIGNMENTS (1 SEAT) — INDIVIDUAL EXPIRY TRACKING</t>
  </si>
  <si>
    <t xml:space="preserve">Parallels Desktop for Mac Pro Edition </t>
  </si>
  <si>
    <t>Parallels</t>
  </si>
  <si>
    <t>6J9WWJ-DY96K2-3V7HCB-V8ZWTK-EZS2WQ</t>
  </si>
  <si>
    <t>Parallels Desktop for Mac Pro Edition (1 Year)
Run Windows on your Mac!</t>
  </si>
  <si>
    <t>Jason</t>
  </si>
  <si>
    <t>Kade</t>
  </si>
  <si>
    <t>Beer</t>
  </si>
  <si>
    <t>Arm Thanasarn Sriphet</t>
  </si>
  <si>
    <t>Kanit Koomuda</t>
  </si>
  <si>
    <t>Palm-Natawut Kliangprapai</t>
  </si>
  <si>
    <t>Zarni Shein</t>
  </si>
  <si>
    <t>thanasarns@royalphuketmarina.com</t>
  </si>
  <si>
    <t>kanitk@royalphuketmarina.com</t>
  </si>
  <si>
    <t>natawutk@royalphuketmarina.com</t>
  </si>
  <si>
    <t>Arm</t>
  </si>
  <si>
    <t>Kobe</t>
  </si>
  <si>
    <t>Palm</t>
  </si>
  <si>
    <t>Zarni</t>
  </si>
  <si>
    <t>Contract #110004964008 - 2 seats Exp.27 Feb 25 - 26 Feb 27
Contract #110005166958 - 2 seats Exp.28 Apr 26 - 27 Apr 27
Contract #110005229552 - 1 seat Exp 2 Sep 26 - 1 Sep 27</t>
  </si>
  <si>
    <t xml:space="preserve">
SketchUp Pro, Channel, annual termed contract</t>
  </si>
  <si>
    <t>Amm-Parichart</t>
  </si>
  <si>
    <t>Balan</t>
  </si>
  <si>
    <t>Bank-Bunchanok</t>
  </si>
  <si>
    <t>Divia</t>
  </si>
  <si>
    <t>GL</t>
  </si>
  <si>
    <t>HR Nan-Wijittra</t>
  </si>
  <si>
    <t>Ice-Kamon</t>
  </si>
  <si>
    <t>Ink-Charassri</t>
  </si>
  <si>
    <t>Interim PA - Chairman</t>
  </si>
  <si>
    <t>Jason Addison</t>
  </si>
  <si>
    <t>Jay-Vinayak</t>
  </si>
  <si>
    <t>Ju-Watchira</t>
  </si>
  <si>
    <t>Kade-Nonglak</t>
  </si>
  <si>
    <t>Kobe-Kanit Koomuda</t>
  </si>
  <si>
    <t>Lim-Sompong</t>
  </si>
  <si>
    <t>Mai-Marina</t>
  </si>
  <si>
    <t>Mete Izmen</t>
  </si>
  <si>
    <t>Nart-Woranart</t>
  </si>
  <si>
    <t>Peace-Panuwat</t>
  </si>
  <si>
    <t>Rit-Narit</t>
  </si>
  <si>
    <t>Sun-Tanongsak Langei</t>
  </si>
  <si>
    <t>Sunny Sandhu</t>
  </si>
  <si>
    <t>Thi-Finance Director</t>
  </si>
  <si>
    <t>Tony-Antonio Estrella</t>
  </si>
  <si>
    <t>paricharts@royalphuketmarina.com</t>
  </si>
  <si>
    <t>balan@royalphuketmarina.com</t>
  </si>
  <si>
    <t>bunchanokp@royalphuketmarina.com</t>
  </si>
  <si>
    <t>divia@royalphuketmarina.com</t>
  </si>
  <si>
    <t>gl@royalphuketmarina.com</t>
  </si>
  <si>
    <t>wijittrak@royalphuketmarina.com</t>
  </si>
  <si>
    <t>kamonj@royalphuketmarina.com</t>
  </si>
  <si>
    <t>charassrin@royalphuketmarina.com</t>
  </si>
  <si>
    <t>pa@royalphuketmarina.com</t>
  </si>
  <si>
    <t>jason@royalphuketmarina.com</t>
  </si>
  <si>
    <t>vinayak@royalphuketmarina.com</t>
  </si>
  <si>
    <t>watchiras@royalphuketmarina.com</t>
  </si>
  <si>
    <t>lim@royalphuketmarina.com</t>
  </si>
  <si>
    <t>mair@royalphuketmarina.com</t>
  </si>
  <si>
    <t>metei@royalphuketmarina.com</t>
  </si>
  <si>
    <t>woranartw@royalphuketmarina.com</t>
  </si>
  <si>
    <t>panuwatt@royalphuketmarina.com</t>
  </si>
  <si>
    <t>naritb@royalphuketmarina.com</t>
  </si>
  <si>
    <t>itsupport@royalphuketmarina.com</t>
  </si>
  <si>
    <t>sunny@royalphuketmarina.com</t>
  </si>
  <si>
    <t>thinaromc@royalphuketmarina.com</t>
  </si>
  <si>
    <t>antonio@royalphuketmarina.com</t>
  </si>
  <si>
    <t>adminpowerbi@royalphuketmarina.com</t>
  </si>
  <si>
    <t>marinapowerbi@royalphuketmarina.com</t>
  </si>
  <si>
    <t>PowerBI-Admin</t>
  </si>
  <si>
    <t>PowerBI-Marina</t>
  </si>
  <si>
    <t>admin@royalphuketmarina.com</t>
  </si>
  <si>
    <t>Admin-RPM</t>
  </si>
  <si>
    <t>Beer-Project</t>
  </si>
  <si>
    <t>Arm-Thanasarn Sriphet</t>
  </si>
  <si>
    <t>Bat-Akararch</t>
  </si>
  <si>
    <t>Beer-Apisit</t>
  </si>
  <si>
    <t>Berm-Suradej</t>
  </si>
  <si>
    <t>Bluu Restaurant</t>
  </si>
  <si>
    <t>BP</t>
  </si>
  <si>
    <t>Dino Lalvani</t>
  </si>
  <si>
    <t>Eswaran</t>
  </si>
  <si>
    <t>Fame-Alisa</t>
  </si>
  <si>
    <t>FB-Store</t>
  </si>
  <si>
    <t>Fon-Tarinee</t>
  </si>
  <si>
    <t>Gift-Sudaporn</t>
  </si>
  <si>
    <t>HR Admin</t>
  </si>
  <si>
    <t>Ice-Munlika</t>
  </si>
  <si>
    <t>Jack-Chalermphong</t>
  </si>
  <si>
    <t>Joop-PA Hubblehome</t>
  </si>
  <si>
    <t>June-Paradee</t>
  </si>
  <si>
    <t>Kate-Nashakan Fanpamoun</t>
  </si>
  <si>
    <t>Kob-Kannanat</t>
  </si>
  <si>
    <t>Mai-Rungtiwa</t>
  </si>
  <si>
    <t>Marina-Member</t>
  </si>
  <si>
    <t>Mayry-Sawarot</t>
  </si>
  <si>
    <t>Michael</t>
  </si>
  <si>
    <t>Namprik-Aratee</t>
  </si>
  <si>
    <t>Nhoo-Apiwan</t>
  </si>
  <si>
    <t>Noina-Narumol</t>
  </si>
  <si>
    <t>Oh-Thitima</t>
  </si>
  <si>
    <t>Ohm-Kittisak</t>
  </si>
  <si>
    <t>Pa-Panichat</t>
  </si>
  <si>
    <t>Palm-Natawut</t>
  </si>
  <si>
    <t>Ploy-Ploychompoo</t>
  </si>
  <si>
    <t>PP-Piraphas</t>
  </si>
  <si>
    <t>RPM-Store</t>
  </si>
  <si>
    <t>RPM Paradise</t>
  </si>
  <si>
    <t>Rung-Rungtawan</t>
  </si>
  <si>
    <t>Shashank</t>
  </si>
  <si>
    <t>Smile-Sirikorn</t>
  </si>
  <si>
    <t>Solavita Restaurant</t>
  </si>
  <si>
    <t>Sonam</t>
  </si>
  <si>
    <t>Sukee – Sujaree Waenpetch</t>
  </si>
  <si>
    <t>Tata-Oracha Bailap</t>
  </si>
  <si>
    <t>Took-Wannaphorn</t>
  </si>
  <si>
    <t>Wadee-Sirikorn</t>
  </si>
  <si>
    <t>Webmaster</t>
  </si>
  <si>
    <t>Whan-Artittaya</t>
  </si>
  <si>
    <t>akararchj@royalphuketmarina.com</t>
  </si>
  <si>
    <t>suradejk@royalphuketmarina.com</t>
  </si>
  <si>
    <t>bluu@royalphuketmarina.com</t>
  </si>
  <si>
    <t>bp@royalphuketmarina.com</t>
  </si>
  <si>
    <t>dino@royalphuketmarina.com</t>
  </si>
  <si>
    <t>eswaran@royalphuketmarina.com</t>
  </si>
  <si>
    <t>alisaj@royalphuketmarina.com</t>
  </si>
  <si>
    <t>fbstore@royalphuketmarina.com</t>
  </si>
  <si>
    <t>tarineek@royalphuketmarina.com</t>
  </si>
  <si>
    <t>fuelcashier@royalphuketmarina.com</t>
  </si>
  <si>
    <t>hradmin@royalphuketmarina.com</t>
  </si>
  <si>
    <t>creative@royalphuketmarina.com</t>
  </si>
  <si>
    <t>chalermphongt@royalphuketmarina.com</t>
  </si>
  <si>
    <t>joop@royalphuketmarina.com</t>
  </si>
  <si>
    <t>paradees@royalphuketmarina.com</t>
  </si>
  <si>
    <t>eventsales@royalphuketmarina.com</t>
  </si>
  <si>
    <t>kannanatj@royalphuketmarina.com</t>
  </si>
  <si>
    <t>rungtiwap@royalphuketmarina.com</t>
  </si>
  <si>
    <t>marinamember@royalphuketmarina.com</t>
  </si>
  <si>
    <t>property@royalphuketmarina.com</t>
  </si>
  <si>
    <t>michaela@royalphuketmarina.com</t>
  </si>
  <si>
    <t>marina.admin@royalphuketmarina.com</t>
  </si>
  <si>
    <t>apiwank@royalphuketmarina.com</t>
  </si>
  <si>
    <t>narumols@royalphuketmarina.com</t>
  </si>
  <si>
    <t>thitimal@royalphuketmarina.com</t>
  </si>
  <si>
    <t>kittisaks@royalphuketmarina.com</t>
  </si>
  <si>
    <t>panichatk@royalphuketmarina.com</t>
  </si>
  <si>
    <t>marinasales@royalphuketmarina.com</t>
  </si>
  <si>
    <t>sales.team@royalphuketmarina.com</t>
  </si>
  <si>
    <t>storekeeper@royalphuketmarina.com</t>
  </si>
  <si>
    <t>paradise@royalphuketmarina.com</t>
  </si>
  <si>
    <t>rungtawana@royalphuketmarina.com</t>
  </si>
  <si>
    <t>shashank@royalphuketmarina.com</t>
  </si>
  <si>
    <t>sirikornj@royalphuketmarina.com</t>
  </si>
  <si>
    <t>solavita@royalphuketmarina.com</t>
  </si>
  <si>
    <t>sonam@royalphuketmarina.com</t>
  </si>
  <si>
    <t>sujareew@royalphuketmarina.com</t>
  </si>
  <si>
    <t>orachab@royalphuketmarina.com</t>
  </si>
  <si>
    <t>wannaphornm@royalphuketmarina.com</t>
  </si>
  <si>
    <t>sirikorns@royalphuketmarina.com</t>
  </si>
  <si>
    <t>webmaster@royalphuketmarina.com</t>
  </si>
  <si>
    <t>artittayas@royalphuketmarina.com</t>
  </si>
  <si>
    <t>Products</t>
  </si>
  <si>
    <t>ANNUAL COST BY PRODUCT</t>
  </si>
  <si>
    <t>SEAT UTILIZATION BY PRODUCT</t>
  </si>
  <si>
    <t>NEXT LICENSE EXPIRIES</t>
  </si>
  <si>
    <t>User / Seat</t>
  </si>
  <si>
    <t>PORTFOLIO STATUS</t>
  </si>
  <si>
    <t>Metric</t>
  </si>
  <si>
    <t>Count</t>
  </si>
  <si>
    <t>Active Products</t>
  </si>
  <si>
    <t>Renew Soon Products</t>
  </si>
  <si>
    <t>Expired Seats</t>
  </si>
  <si>
    <t>Expired Products</t>
  </si>
  <si>
    <t>Named Assignments</t>
  </si>
  <si>
    <t>Assignment Variance</t>
  </si>
  <si>
    <t>Blank Expiry Records</t>
  </si>
  <si>
    <t>Microsoft - Netway Communication</t>
  </si>
  <si>
    <t>Adobe - S.D. Phuket</t>
  </si>
  <si>
    <t>Autodesk - S.D. Phuket</t>
  </si>
  <si>
    <t>Trimble - S.D. Phuket</t>
  </si>
  <si>
    <t>Days Remaining</t>
  </si>
  <si>
    <t>Expiring Seats &lt;30d</t>
  </si>
  <si>
    <t>Total Costs</t>
  </si>
  <si>
    <t>Record ID</t>
  </si>
  <si>
    <t>License Status</t>
  </si>
  <si>
    <t>License Notes</t>
  </si>
  <si>
    <t>Assignment Notes</t>
  </si>
  <si>
    <t>Source Sheet</t>
  </si>
  <si>
    <t>Acrobat Pro for teams Subscription|1</t>
  </si>
  <si>
    <t>Assigned</t>
  </si>
  <si>
    <t>Acrobat Pro for teams Subscription|2</t>
  </si>
  <si>
    <t>Autodesk CAD LT|1</t>
  </si>
  <si>
    <t>Autodesk CAD LT|2</t>
  </si>
  <si>
    <t>Autodesk CAD LT|3</t>
  </si>
  <si>
    <t>Autodesk CAD LT|4</t>
  </si>
  <si>
    <t>Autodesk CAD LT|5</t>
  </si>
  <si>
    <t>Microsoft 365 NCE - Exchange Online (Plan 2)|1</t>
  </si>
  <si>
    <t>Microsoft 365 NCE - OneDrive for Business (Plan 2)|1</t>
  </si>
  <si>
    <t>Microsoft 365 NEC - Business Standard|1</t>
  </si>
  <si>
    <t>Microsoft 365 NEC - Business Standard|2</t>
  </si>
  <si>
    <t>Microsoft 365 NEC - Business Standard|3</t>
  </si>
  <si>
    <t>Microsoft 365 NEC - Business Standard|4</t>
  </si>
  <si>
    <t>Microsoft 365 NEC - Business Standard|5</t>
  </si>
  <si>
    <t>Microsoft 365 NEC - Business Standard|6</t>
  </si>
  <si>
    <t>Microsoft 365 NEC - Business Standard|7</t>
  </si>
  <si>
    <t>Microsoft 365 NEC - Business Standard|8</t>
  </si>
  <si>
    <t>Microsoft 365 NEC - Business Standard|9</t>
  </si>
  <si>
    <t>Microsoft 365 NEC - Business Standard|10</t>
  </si>
  <si>
    <t>Microsoft 365 NEC - Business Standard|11</t>
  </si>
  <si>
    <t>Microsoft 365 NEC - Business Standard|12</t>
  </si>
  <si>
    <t>Microsoft 365 NEC - Business Standard|13</t>
  </si>
  <si>
    <t>Microsoft 365 NEC - Business Standard|14</t>
  </si>
  <si>
    <t>Microsoft 365 NEC - Business Standard|15</t>
  </si>
  <si>
    <t>Microsoft 365 NEC - Business Standard|16</t>
  </si>
  <si>
    <t>Microsoft 365 NEC - Business Standard|17</t>
  </si>
  <si>
    <t>Microsoft 365 NEC - Business Standard|18</t>
  </si>
  <si>
    <t>Microsoft 365 NEC - Business Standard|19</t>
  </si>
  <si>
    <t>Microsoft 365 NEC - Business Standard|20</t>
  </si>
  <si>
    <t>Microsoft 365 NEC - Business Standard|21</t>
  </si>
  <si>
    <t>Microsoft 365 NEC - Business Standard|22</t>
  </si>
  <si>
    <t>Microsoft 365 NEC - Business Standard|23</t>
  </si>
  <si>
    <t>Microsoft 365 NEC - Business Standard|24</t>
  </si>
  <si>
    <t>Microsoft 365 NEC - Business Standard|25</t>
  </si>
  <si>
    <t>Microsoft 365 NEC - Business Standard|26</t>
  </si>
  <si>
    <t>Microsoft 365 NEC - Business Standard|27</t>
  </si>
  <si>
    <t>Microsoft 365 NEC - Business Standard|28</t>
  </si>
  <si>
    <t>Microsoft 365 NEC - Business Standard|29</t>
  </si>
  <si>
    <t>Microsoft 365 NEC - Business Standard|30</t>
  </si>
  <si>
    <t>Microsoft 365 NEC - Business Standard|31</t>
  </si>
  <si>
    <t>Microsoft 365 NEC - Business Standard|32</t>
  </si>
  <si>
    <t>Microsoft 365 NEC - Business Standard|33</t>
  </si>
  <si>
    <t>Microsoft 365 NEC - Business Standard|34</t>
  </si>
  <si>
    <t>Microsoft 365 NEC - Business Standard|35</t>
  </si>
  <si>
    <t>Microsoft 365 NEC - Business Standard|36</t>
  </si>
  <si>
    <t>Microsoft 365 NEC - Business Standard|37</t>
  </si>
  <si>
    <t>Microsoft 365 NEC - Business Standard|38</t>
  </si>
  <si>
    <t>Microsoft 365 NEC - Business Standard|39</t>
  </si>
  <si>
    <t>Microsoft 365 NEC - Business Standard|40</t>
  </si>
  <si>
    <t>Microsoft 365 NEC - Business Standard|41</t>
  </si>
  <si>
    <t>Microsoft 365 NEC - Business Standard|42</t>
  </si>
  <si>
    <t>Microsoft 365 NEC - Business Standard|43</t>
  </si>
  <si>
    <t>Microsoft 365 NEC - Business Standard|44</t>
  </si>
  <si>
    <t>Microsoft 365 NEC - Business Standard|45</t>
  </si>
  <si>
    <t>Microsoft 365 NEC - Business Standard|46</t>
  </si>
  <si>
    <t>Microsoft 365 NEC - Business Standard|47</t>
  </si>
  <si>
    <t>Microsoft 365 NEC - Business Standard|48</t>
  </si>
  <si>
    <t>Microsoft 365 NEC - Business Standard|49</t>
  </si>
  <si>
    <t>Microsoft 365 NEC - Business Standard|50</t>
  </si>
  <si>
    <t>Microsoft 365 NEC - Business Standard|51</t>
  </si>
  <si>
    <t>Microsoft 365 NEC - Business Standard|52</t>
  </si>
  <si>
    <t>Microsoft 365 NEC - Business Standard|53</t>
  </si>
  <si>
    <t>Microsoft 365 NEC - Business Standard|54</t>
  </si>
  <si>
    <t>Microsoft 365 NEC - Business Standard|55</t>
  </si>
  <si>
    <t>Microsoft 365 NEC - Business Standard|56</t>
  </si>
  <si>
    <t>Microsoft 365 NEC - Business Standard|57</t>
  </si>
  <si>
    <t>Microsoft 365 NEC - Business Standard|58</t>
  </si>
  <si>
    <t>Microsoft 365 NEC - Business Standard|59</t>
  </si>
  <si>
    <t>Microsoft 365 NEC - Business Standard|60</t>
  </si>
  <si>
    <t>Microsoft 365 NEC - Business Standard|61</t>
  </si>
  <si>
    <t>Microsoft 365 NEC - Business Standard|62</t>
  </si>
  <si>
    <t>Microsoft 365 NEC - Business Standard|63</t>
  </si>
  <si>
    <t>Microsoft 365 NEC - Business Standard|64</t>
  </si>
  <si>
    <t>Microsoft 365 NEC - Business Standard|65</t>
  </si>
  <si>
    <t>Microsoft 365 NEC - Business Standard|66</t>
  </si>
  <si>
    <t>Microsoft 365 NEC - Business Standard|67</t>
  </si>
  <si>
    <t>Microsoft 365 NEC - Business Standard|68</t>
  </si>
  <si>
    <t>Microsoft 365 NEC - Business Standard|69</t>
  </si>
  <si>
    <t>Microsoft 365 NEC - Business Standard|70</t>
  </si>
  <si>
    <t>Microsoft 365 NEC - Business Standard|71</t>
  </si>
  <si>
    <t>Microsoft 365 NEC - Business Standard|72</t>
  </si>
  <si>
    <t>Microsoft 365 NEC - Business Standard|73</t>
  </si>
  <si>
    <t>Microsoft 365 NEC - Copilot Business|1</t>
  </si>
  <si>
    <t>Microsoft 365 NEC - Copilot Business|2</t>
  </si>
  <si>
    <t>Microsoft 365 NEC - Copilot Business|3</t>
  </si>
  <si>
    <t>Microsoft 365 NEC - Copilot Business|4</t>
  </si>
  <si>
    <t>Microsoft 365 NEC - Copilot Business|5</t>
  </si>
  <si>
    <t>Microsoft 365 NEC - Copilot Business|6</t>
  </si>
  <si>
    <t>Microsoft 365 NEC - Copilot Business|7</t>
  </si>
  <si>
    <t>Microsoft 365 NEC - Copilot Business|8</t>
  </si>
  <si>
    <t>Microsoft 365 NEC - Copilot Business|9</t>
  </si>
  <si>
    <t>Microsoft 365 NEC - Copilot Business|10</t>
  </si>
  <si>
    <t>Microsoft 365 NEC - Copilot Business|11</t>
  </si>
  <si>
    <t>Microsoft 365 NEC - Copilot Business|12</t>
  </si>
  <si>
    <t>Microsoft 365 NEC - Copilot Business|13</t>
  </si>
  <si>
    <t>Microsoft 365 NEC - Copilot Business|14</t>
  </si>
  <si>
    <t>Microsoft 365 NEC - Copilot Business|15</t>
  </si>
  <si>
    <t>Microsoft 365 NEC - Copilot Business|16</t>
  </si>
  <si>
    <t>Microsoft 365 NEC - Copilot Business|17</t>
  </si>
  <si>
    <t>Microsoft 365 NEC - Copilot Business|18</t>
  </si>
  <si>
    <t>Microsoft 365 NEC - Copilot Business|19</t>
  </si>
  <si>
    <t>Microsoft 365 NEC - Copilot Business|20</t>
  </si>
  <si>
    <t>Microsoft 365 NEC - Copilot Business|21</t>
  </si>
  <si>
    <t>Unassigned</t>
  </si>
  <si>
    <t>Microsoft 365 NEC - Copilot Business|22</t>
  </si>
  <si>
    <t>Microsoft 365 NEC - Copilot Business|23</t>
  </si>
  <si>
    <t>Microsoft 365 NEC - Copilot Business|24</t>
  </si>
  <si>
    <t>Parallels Desktop for Mac Pro Edition|1</t>
  </si>
  <si>
    <t>Parallels Desktop for Mac Pro Edition</t>
  </si>
  <si>
    <t>Assignment details unavailable</t>
  </si>
  <si>
    <t>License Register</t>
  </si>
  <si>
    <t>Power BI Pro|1</t>
  </si>
  <si>
    <t>Power BI Pro|2</t>
  </si>
  <si>
    <t>Power BI Pro|3</t>
  </si>
  <si>
    <t>Power BI Pro|4</t>
  </si>
  <si>
    <t>Primavera P6|1</t>
  </si>
  <si>
    <t>Project Professional 2024|1</t>
  </si>
  <si>
    <t>No Expiry</t>
  </si>
  <si>
    <t>Trimble SketchUp|1</t>
  </si>
  <si>
    <t>Trimble SketchUp|2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</si>
</sst>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9">
    <font>
      <sz val="11"/>
      <color theme="1"/>
      <name val="Aptos Narrow"/>
      <family val="2"/>
      <charset val="222"/>
      <scheme val="minor"/>
    </font>
    <font>
      <b/>
      <sz val="11"/>
      <color theme="1"/>
      <name val="Aptos Narrow"/>
      <family val="2"/>
      <charset val="222"/>
      <scheme val="minor"/>
    </font>
    <font>
      <u/>
      <sz val="11"/>
      <color theme="10"/>
      <name val="Aptos Narrow"/>
      <family val="2"/>
      <charset val="222"/>
      <scheme val="minor"/>
    </font>
    <font>
      <sz val="11"/>
      <color theme="1"/>
      <name val="Aptos"/>
    </font>
    <font>
      <b/>
      <sz val="16"/>
      <color rgb="FFFFFFFF"/>
      <name val="Aptos"/>
      <family val="2"/>
    </font>
    <font>
      <sz val="11"/>
      <color theme="1"/>
      <name val="Aptos"/>
      <family val="2"/>
    </font>
    <font>
      <b/>
      <sz val="11"/>
      <color rgb="FFFFFFFF"/>
      <name val="Aptos"/>
      <family val="2"/>
    </font>
    <font>
      <b/>
      <sz val="10"/>
      <color rgb="FFFFFFFF"/>
      <name val="Aptos"/>
      <family val="2"/>
    </font>
    <font>
      <sz val="10"/>
      <color theme="1"/>
      <name val="Aptos"/>
      <family val="2"/>
    </font>
    <font>
      <b/>
      <sz val="18"/>
      <color rgb="FFFFFFFF"/>
      <name val="Aptos Display"/>
      <family val="2"/>
    </font>
    <font>
      <b/>
      <sz val="10"/>
      <color theme="1"/>
      <name val="Aptos"/>
      <family val="2"/>
    </font>
    <font>
      <b/>
      <sz val="10"/>
      <color rgb="FF000000"/>
      <name val="ArtifaktElement"/>
    </font>
    <font>
      <sz val="10"/>
      <color theme="1"/>
      <name val="ArtifaktElement"/>
    </font>
    <font>
      <b/>
      <sz val="20"/>
      <color rgb="FFFFFFFF"/>
      <name val="Aptos"/>
      <family val="2"/>
    </font>
    <font>
      <b/>
      <sz val="11"/>
      <color rgb="FF17365D"/>
      <name val="Aptos"/>
      <family val="2"/>
    </font>
    <font>
      <b/>
      <sz val="19"/>
      <color rgb="FF17365D"/>
      <name val="Aptos"/>
      <family val="2"/>
    </font>
    <font>
      <b/>
      <sz val="11"/>
      <color theme="1"/>
      <name val="Aptos"/>
      <family val="2"/>
    </font>
    <font>
      <b/>
      <sz val="10"/>
      <color theme="1"/>
      <name val="Aptos"/>
    </font>
    <font>
      <sz val="10"/>
      <color theme="1"/>
      <name val="Aptos"/>
    </font>
  </fonts>
  <fills count="9">
    <fill>
      <patternFill patternType="none"/>
    </fill>
    <fill>
      <patternFill patternType="gray125"/>
    </fill>
    <fill>
      <patternFill patternType="solid">
        <fgColor rgb="FF16324F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7FAFC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0">
    <xf numFmtId="0" fontId="0" fillId="0" borderId="0" xfId="0"/>
    <xf numFmtId="0" fontId="3" fillId="0" borderId="0" xfId="0" applyFont="1"/>
    <xf numFmtId="0" fontId="0" fillId="0" borderId="0" xfId="0" applyAlignment="1">
      <alignment wrapText="1"/>
    </xf>
    <xf numFmtId="0" fontId="5" fillId="0" borderId="0" xfId="0" applyFont="1"/>
    <xf numFmtId="0" fontId="5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5" fillId="3" borderId="0" xfId="0" applyFont="1" applyFill="1" applyAlignment="1">
      <alignment vertical="center" wrapText="1"/>
    </xf>
    <xf numFmtId="1" fontId="5" fillId="3" borderId="0" xfId="0" applyNumberFormat="1" applyFont="1" applyFill="1" applyAlignment="1">
      <alignment vertical="center" wrapText="1"/>
    </xf>
    <xf numFmtId="1" fontId="5" fillId="3" borderId="0" xfId="0" applyNumberFormat="1" applyFont="1" applyFill="1" applyAlignment="1">
      <alignment vertical="center"/>
    </xf>
    <xf numFmtId="4" fontId="5" fillId="3" borderId="0" xfId="0" applyNumberFormat="1" applyFont="1" applyFill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1" fontId="3" fillId="3" borderId="0" xfId="0" applyNumberFormat="1" applyFont="1" applyFill="1" applyAlignment="1">
      <alignment vertical="center" wrapText="1"/>
    </xf>
    <xf numFmtId="1" fontId="3" fillId="3" borderId="0" xfId="0" applyNumberFormat="1" applyFont="1" applyFill="1" applyAlignment="1">
      <alignment vertical="center"/>
    </xf>
    <xf numFmtId="4" fontId="3" fillId="3" borderId="0" xfId="0" applyNumberFormat="1" applyFont="1" applyFill="1" applyAlignment="1">
      <alignment vertical="center"/>
    </xf>
    <xf numFmtId="0" fontId="3" fillId="3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" fillId="3" borderId="0" xfId="0" quotePrefix="1" applyFont="1" applyFill="1" applyAlignment="1">
      <alignment vertical="center"/>
    </xf>
    <xf numFmtId="0" fontId="8" fillId="0" borderId="0" xfId="0" applyFont="1"/>
    <xf numFmtId="4" fontId="8" fillId="0" borderId="0" xfId="0" applyNumberFormat="1" applyFont="1"/>
    <xf numFmtId="0" fontId="8" fillId="0" borderId="0" xfId="0" applyFont="1" applyAlignment="1">
      <alignment wrapText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vertical="center"/>
    </xf>
    <xf numFmtId="4" fontId="8" fillId="0" borderId="0" xfId="0" applyNumberFormat="1" applyFont="1" applyAlignment="1">
      <alignment vertical="center"/>
    </xf>
    <xf numFmtId="0" fontId="8" fillId="0" borderId="0" xfId="0" applyFont="1" applyAlignment="1">
      <alignment vertical="center" wrapText="1"/>
    </xf>
    <xf numFmtId="164" fontId="3" fillId="3" borderId="0" xfId="0" applyNumberFormat="1" applyFont="1" applyFill="1" applyAlignment="1">
      <alignment vertical="center"/>
    </xf>
    <xf numFmtId="164" fontId="5" fillId="3" borderId="0" xfId="0" applyNumberFormat="1" applyFont="1" applyFill="1" applyAlignment="1">
      <alignment vertical="center"/>
    </xf>
    <xf numFmtId="164" fontId="8" fillId="0" borderId="0" xfId="0" applyNumberFormat="1" applyFont="1"/>
    <xf numFmtId="164" fontId="8" fillId="0" borderId="0" xfId="0" applyNumberFormat="1" applyFont="1" applyAlignment="1">
      <alignment vertical="center"/>
    </xf>
    <xf numFmtId="0" fontId="10" fillId="0" borderId="0" xfId="0" applyFont="1"/>
    <xf numFmtId="0" fontId="10" fillId="0" borderId="0" xfId="0" applyFont="1" applyAlignment="1">
      <alignment wrapText="1"/>
    </xf>
    <xf numFmtId="0" fontId="1" fillId="0" borderId="0" xfId="0" applyFont="1"/>
    <xf numFmtId="0" fontId="2" fillId="0" borderId="0" xfId="1"/>
    <xf numFmtId="0" fontId="11" fillId="0" borderId="0" xfId="0" applyFont="1"/>
    <xf numFmtId="0" fontId="12" fillId="0" borderId="0" xfId="0" applyFont="1"/>
    <xf numFmtId="0" fontId="8" fillId="0" borderId="0" xfId="0" applyFont="1" applyAlignment="1">
      <alignment vertical="top" wrapText="1"/>
    </xf>
    <xf numFmtId="164" fontId="0" fillId="0" borderId="0" xfId="0" applyNumberFormat="1"/>
    <xf numFmtId="164" fontId="8" fillId="0" borderId="0" xfId="0" applyNumberFormat="1" applyFont="1" applyAlignment="1">
      <alignment horizontal="center"/>
    </xf>
    <xf numFmtId="0" fontId="8" fillId="0" borderId="0" xfId="0" applyFont="1" applyAlignment="1">
      <alignment horizontal="left"/>
    </xf>
    <xf numFmtId="3" fontId="0" fillId="0" borderId="0" xfId="0" applyNumberFormat="1"/>
    <xf numFmtId="1" fontId="0" fillId="0" borderId="0" xfId="0" applyNumberFormat="1"/>
    <xf numFmtId="0" fontId="16" fillId="7" borderId="0" xfId="0" applyFont="1" applyFill="1"/>
    <xf numFmtId="0" fontId="5" fillId="8" borderId="0" xfId="0" applyFont="1" applyFill="1"/>
    <xf numFmtId="164" fontId="5" fillId="0" borderId="0" xfId="0" applyNumberFormat="1" applyFont="1"/>
    <xf numFmtId="1" fontId="16" fillId="8" borderId="0" xfId="0" applyNumberFormat="1" applyFont="1" applyFill="1"/>
    <xf numFmtId="0" fontId="5" fillId="6" borderId="0" xfId="0" applyFont="1" applyFill="1"/>
    <xf numFmtId="1" fontId="16" fillId="6" borderId="0" xfId="0" applyNumberFormat="1" applyFont="1" applyFill="1"/>
    <xf numFmtId="1" fontId="8" fillId="0" borderId="0" xfId="0" applyNumberFormat="1" applyFont="1"/>
    <xf numFmtId="1" fontId="5" fillId="0" borderId="0" xfId="0" applyNumberFormat="1" applyFont="1"/>
    <xf numFmtId="0" fontId="17" fillId="7" borderId="0" xfId="0" applyFont="1" applyFill="1"/>
    <xf numFmtId="0" fontId="17" fillId="7" borderId="0" xfId="0" applyFont="1" applyFill="1" applyAlignment="1">
      <alignment vertical="top" wrapText="1"/>
    </xf>
    <xf numFmtId="4" fontId="17" fillId="7" borderId="0" xfId="0" applyNumberFormat="1" applyFont="1" applyFill="1"/>
    <xf numFmtId="0" fontId="17" fillId="7" borderId="0" xfId="0" applyFont="1" applyFill="1" applyAlignment="1">
      <alignment wrapText="1"/>
    </xf>
    <xf numFmtId="0" fontId="17" fillId="7" borderId="0" xfId="0" applyFont="1" applyFill="1" applyAlignment="1">
      <alignment vertical="center"/>
    </xf>
    <xf numFmtId="0" fontId="17" fillId="7" borderId="0" xfId="0" applyFont="1" applyFill="1" applyAlignment="1">
      <alignment vertical="center" wrapText="1"/>
    </xf>
    <xf numFmtId="4" fontId="17" fillId="7" borderId="0" xfId="0" applyNumberFormat="1" applyFont="1" applyFill="1" applyAlignment="1">
      <alignment vertical="center"/>
    </xf>
    <xf numFmtId="0" fontId="13" fillId="4" borderId="0" xfId="0" applyFont="1" applyFill="1"/>
    <xf numFmtId="0" fontId="14" fillId="7" borderId="0" xfId="0" applyFont="1" applyFill="1" applyAlignment="1">
      <alignment horizontal="center"/>
    </xf>
    <xf numFmtId="1" fontId="15" fillId="8" borderId="0" xfId="0" applyNumberFormat="1" applyFont="1" applyFill="1" applyAlignment="1">
      <alignment horizontal="center" vertical="center"/>
    </xf>
    <xf numFmtId="0" fontId="6" fillId="5" borderId="0" xfId="0" applyFont="1" applyFill="1"/>
    <xf numFmtId="4" fontId="15" fillId="8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9" fillId="4" borderId="0" xfId="0" applyFont="1" applyFill="1"/>
    <xf numFmtId="0" fontId="7" fillId="5" borderId="0" xfId="0" applyFont="1" applyFill="1"/>
    <xf numFmtId="0" fontId="18" fillId="0" borderId="0" xfId="0" applyFont="1"/>
    <xf numFmtId="1" fontId="18" fillId="0" borderId="0" xfId="0" applyNumberFormat="1" applyFont="1"/>
    <xf numFmtId="164" fontId="18" fillId="0" borderId="0" xfId="0" applyNumberFormat="1" applyFont="1"/>
    <xf numFmtId="4" fontId="18" fillId="0" borderId="0" xfId="0" applyNumberFormat="1" applyFont="1"/>
    <xf numFmtId="0" fontId="18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356">
    <dxf>
      <font>
        <sz val="10"/>
        <name val="Aptos"/>
      </font>
      <alignment wrapText="1"/>
    </dxf>
    <dxf>
      <font>
        <sz val="10"/>
        <name val="Aptos"/>
      </font>
      <alignment horizontal="general" vertical="bottom" textRotation="0" wrapText="1" indent="0" justifyLastLine="0" shrinkToFit="0" readingOrder="0"/>
    </dxf>
    <dxf>
      <font>
        <sz val="10"/>
        <name val="Aptos"/>
      </font>
      <alignment wrapText="1"/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  <numFmt numFmtId="164" formatCode="dd/mm/yyyy"/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  <numFmt numFmtId="4" formatCode="#,##0.00"/>
    </dxf>
    <dxf>
      <font>
        <sz val="10"/>
        <name val="Aptos"/>
      </font>
      <numFmt numFmtId="4" formatCode="#,##0.00"/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  <numFmt numFmtId="1" formatCode="0"/>
    </dxf>
    <dxf>
      <font>
        <sz val="10"/>
        <name val="Aptos"/>
      </font>
      <numFmt numFmtId="1" formatCode="0"/>
    </dxf>
    <dxf>
      <font>
        <sz val="10"/>
        <name val="Aptos"/>
      </font>
      <numFmt numFmtId="1" formatCode="0"/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  <numFmt numFmtId="1" formatCode="0"/>
    </dxf>
    <dxf>
      <font>
        <sz val="10"/>
        <name val="Aptos"/>
      </font>
      <numFmt numFmtId="164" formatCode="dd/mm/yyyy"/>
    </dxf>
    <dxf>
      <font>
        <sz val="10"/>
        <name val="Aptos"/>
      </font>
      <numFmt numFmtId="164" formatCode="dd/mm/yyyy"/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  <numFmt numFmtId="1" formatCode="0"/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color rgb="FF595959"/>
      </font>
      <fill>
        <patternFill patternType="solid">
          <fgColor indexed="64"/>
          <bgColor rgb="FFE7E6E6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375623"/>
      </font>
      <fill>
        <patternFill patternType="solid">
          <fgColor indexed="64"/>
          <bgColor rgb="FFC6E0B4"/>
        </patternFill>
      </fill>
    </dxf>
    <dxf>
      <font>
        <color rgb="FF9C0006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E699"/>
        </patternFill>
      </fill>
    </dxf>
    <dxf>
      <font>
        <color rgb="FF1F4E78"/>
      </font>
      <fill>
        <patternFill patternType="solid">
          <fgColor indexed="64"/>
          <bgColor rgb="FFDDEBF7"/>
        </patternFill>
      </fill>
    </dxf>
    <dxf>
      <font>
        <color rgb="FF375623"/>
      </font>
      <fill>
        <patternFill patternType="solid">
          <fgColor indexed="64"/>
          <bgColor rgb="FFC6E0B4"/>
        </patternFill>
      </fill>
    </dxf>
    <dxf>
      <font>
        <color rgb="FF1F4E78"/>
      </font>
      <fill>
        <patternFill patternType="solid">
          <fgColor indexed="64"/>
          <bgColor rgb="FFDDEBF7"/>
        </patternFill>
      </fill>
    </dxf>
    <dxf>
      <font>
        <color rgb="FF9C0006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E699"/>
        </patternFill>
      </fill>
    </dxf>
    <dxf>
      <font>
        <color rgb="FF375623"/>
      </font>
      <fill>
        <patternFill patternType="solid">
          <fgColor indexed="64"/>
          <bgColor rgb="FFC6E0B4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color rgb="FF595959"/>
      </font>
      <fill>
        <patternFill patternType="solid">
          <fgColor indexed="64"/>
          <bgColor rgb="FFE7E6E6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375623"/>
      </font>
      <fill>
        <patternFill patternType="solid">
          <fgColor indexed="64"/>
          <bgColor rgb="FFC6E0B4"/>
        </patternFill>
      </fill>
    </dxf>
    <dxf>
      <font>
        <color rgb="FF9C0006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E699"/>
        </patternFill>
      </fill>
    </dxf>
    <dxf>
      <font>
        <color rgb="FF1F4E78"/>
      </font>
      <fill>
        <patternFill patternType="solid">
          <fgColor indexed="64"/>
          <bgColor rgb="FFDDEBF7"/>
        </patternFill>
      </fill>
    </dxf>
    <dxf>
      <font>
        <color rgb="FF375623"/>
      </font>
      <fill>
        <patternFill patternType="solid">
          <fgColor indexed="64"/>
          <bgColor rgb="FFC6E0B4"/>
        </patternFill>
      </fill>
    </dxf>
    <dxf>
      <font>
        <color rgb="FF1F4E78"/>
      </font>
      <fill>
        <patternFill patternType="solid">
          <fgColor indexed="64"/>
          <bgColor rgb="FFDDEBF7"/>
        </patternFill>
      </fill>
    </dxf>
    <dxf>
      <font>
        <color rgb="FF9C0006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E699"/>
        </patternFill>
      </fill>
    </dxf>
    <dxf>
      <font>
        <color rgb="FF375623"/>
      </font>
      <fill>
        <patternFill patternType="solid">
          <fgColor indexed="64"/>
          <bgColor rgb="FFC6E0B4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color rgb="FF595959"/>
      </font>
      <fill>
        <patternFill patternType="solid">
          <fgColor indexed="64"/>
          <bgColor rgb="FFE7E6E6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375623"/>
      </font>
      <fill>
        <patternFill patternType="solid">
          <fgColor indexed="64"/>
          <bgColor rgb="FFC6E0B4"/>
        </patternFill>
      </fill>
    </dxf>
    <dxf>
      <font>
        <color rgb="FF9C0006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E699"/>
        </patternFill>
      </fill>
    </dxf>
    <dxf>
      <font>
        <color rgb="FF1F4E78"/>
      </font>
      <fill>
        <patternFill patternType="solid">
          <fgColor indexed="64"/>
          <bgColor rgb="FFDDEBF7"/>
        </patternFill>
      </fill>
    </dxf>
    <dxf>
      <font>
        <color rgb="FF375623"/>
      </font>
      <fill>
        <patternFill patternType="solid">
          <fgColor indexed="64"/>
          <bgColor rgb="FFC6E0B4"/>
        </patternFill>
      </fill>
    </dxf>
    <dxf>
      <font>
        <color rgb="FF1F4E78"/>
      </font>
      <fill>
        <patternFill patternType="solid">
          <fgColor indexed="64"/>
          <bgColor rgb="FFDDEBF7"/>
        </patternFill>
      </fill>
    </dxf>
    <dxf>
      <font>
        <color rgb="FF9C0006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E699"/>
        </patternFill>
      </fill>
    </dxf>
    <dxf>
      <font>
        <color rgb="FF375623"/>
      </font>
      <fill>
        <patternFill patternType="solid">
          <fgColor indexed="64"/>
          <bgColor rgb="FFC6E0B4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color rgb="FF595959"/>
      </font>
      <fill>
        <patternFill patternType="solid">
          <fgColor indexed="64"/>
          <bgColor rgb="FFE7E6E6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375623"/>
      </font>
      <fill>
        <patternFill patternType="solid">
          <fgColor indexed="64"/>
          <bgColor rgb="FFC6E0B4"/>
        </patternFill>
      </fill>
    </dxf>
    <dxf>
      <font>
        <color rgb="FF9C0006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E699"/>
        </patternFill>
      </fill>
    </dxf>
    <dxf>
      <font>
        <color rgb="FF1F4E78"/>
      </font>
      <fill>
        <patternFill patternType="solid">
          <fgColor indexed="64"/>
          <bgColor rgb="FFDDEBF7"/>
        </patternFill>
      </fill>
    </dxf>
    <dxf>
      <font>
        <color rgb="FF375623"/>
      </font>
      <fill>
        <patternFill patternType="solid">
          <fgColor indexed="64"/>
          <bgColor rgb="FFC6E0B4"/>
        </patternFill>
      </fill>
    </dxf>
    <dxf>
      <font>
        <color rgb="FF1F4E78"/>
      </font>
      <fill>
        <patternFill patternType="solid">
          <fgColor indexed="64"/>
          <bgColor rgb="FFDDEBF7"/>
        </patternFill>
      </fill>
    </dxf>
    <dxf>
      <font>
        <color rgb="FF9C0006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E699"/>
        </patternFill>
      </fill>
    </dxf>
    <dxf>
      <font>
        <color rgb="FF375623"/>
      </font>
      <fill>
        <patternFill patternType="solid">
          <fgColor indexed="64"/>
          <bgColor rgb="FFC6E0B4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color rgb="FF595959"/>
      </font>
      <fill>
        <patternFill patternType="solid">
          <fgColor indexed="64"/>
          <bgColor rgb="FFE7E6E6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375623"/>
      </font>
      <fill>
        <patternFill patternType="solid">
          <fgColor indexed="64"/>
          <bgColor rgb="FFC6E0B4"/>
        </patternFill>
      </fill>
    </dxf>
    <dxf>
      <font>
        <color rgb="FF9C0006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E699"/>
        </patternFill>
      </fill>
    </dxf>
    <dxf>
      <font>
        <color rgb="FF1F4E78"/>
      </font>
      <fill>
        <patternFill patternType="solid">
          <fgColor indexed="64"/>
          <bgColor rgb="FFDDEBF7"/>
        </patternFill>
      </fill>
    </dxf>
    <dxf>
      <font>
        <color rgb="FF375623"/>
      </font>
      <fill>
        <patternFill patternType="solid">
          <fgColor indexed="64"/>
          <bgColor rgb="FFC6E0B4"/>
        </patternFill>
      </fill>
    </dxf>
    <dxf>
      <font>
        <color rgb="FF595959"/>
      </font>
      <fill>
        <patternFill patternType="solid">
          <fgColor indexed="64"/>
          <bgColor rgb="FFE7E6E6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375623"/>
      </font>
      <fill>
        <patternFill patternType="solid">
          <fgColor indexed="64"/>
          <bgColor rgb="FFC6E0B4"/>
        </patternFill>
      </fill>
    </dxf>
    <dxf>
      <font>
        <color rgb="FF9C0006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E699"/>
        </patternFill>
      </fill>
    </dxf>
    <dxf>
      <font>
        <color rgb="FF1F4E78"/>
      </font>
      <fill>
        <patternFill patternType="solid">
          <fgColor indexed="64"/>
          <bgColor rgb="FFDDEBF7"/>
        </patternFill>
      </fill>
    </dxf>
    <dxf>
      <font>
        <color rgb="FF375623"/>
      </font>
      <fill>
        <patternFill patternType="solid">
          <fgColor indexed="64"/>
          <bgColor rgb="FFC6E0B4"/>
        </patternFill>
      </fill>
    </dxf>
    <dxf>
      <font>
        <color rgb="FF1F4E78"/>
      </font>
      <fill>
        <patternFill patternType="solid">
          <fgColor indexed="64"/>
          <bgColor rgb="FFDDEBF7"/>
        </patternFill>
      </fill>
    </dxf>
    <dxf>
      <font>
        <color rgb="FF9C0006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E699"/>
        </patternFill>
      </fill>
    </dxf>
    <dxf>
      <font>
        <color rgb="FF375623"/>
      </font>
      <fill>
        <patternFill patternType="solid">
          <fgColor indexed="64"/>
          <bgColor rgb="FFC6E0B4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color rgb="FF8A5A00"/>
      </font>
      <fill>
        <patternFill patternType="solid">
          <fgColor indexed="64"/>
          <bgColor rgb="FFFFF0C2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sz val="10"/>
        <name val="Aptos"/>
      </font>
    </dxf>
    <dxf>
      <font>
        <sz val="10"/>
        <name val="Aptos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164" formatCode="dd/mm/yyyy"/>
    </dxf>
    <dxf>
      <font>
        <sz val="10"/>
        <name val="Aptos"/>
      </font>
    </dxf>
    <dxf>
      <font>
        <sz val="10"/>
        <name val="Aptos"/>
      </font>
      <numFmt numFmtId="164" formatCode="dd/mm/yyyy"/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solid">
          <fgColor indexed="64"/>
          <bgColor rgb="FFD9EAF7"/>
        </patternFill>
      </fill>
      <alignment horizontal="general" vertical="center" textRotation="0" wrapText="0" indent="0" justifyLastLine="0" shrinkToFit="0" readingOrder="0"/>
    </dxf>
    <dxf>
      <font>
        <sz val="10"/>
        <name val="Aptos"/>
      </font>
      <numFmt numFmtId="164" formatCode="dd/mm/yyyy"/>
      <alignment horizontal="general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solid">
          <fgColor indexed="64"/>
          <bgColor rgb="FFD9EAF7"/>
        </patternFill>
      </fill>
      <alignment horizontal="general" vertical="center" textRotation="0" wrapText="1" indent="0" justifyLastLine="0" shrinkToFit="0" readingOrder="0"/>
    </dxf>
    <dxf>
      <font>
        <sz val="10"/>
        <name val="Aptos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solid">
          <fgColor indexed="64"/>
          <bgColor rgb="FFD9EAF7"/>
        </patternFill>
      </fill>
      <alignment horizontal="general" vertical="center" textRotation="0" wrapText="0" indent="0" justifyLastLine="0" shrinkToFit="0" readingOrder="0"/>
    </dxf>
    <dxf>
      <font>
        <sz val="10"/>
        <name val="Aptos"/>
      </font>
      <alignment horizontal="general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solid">
          <fgColor indexed="64"/>
          <bgColor rgb="FFD9EAF7"/>
        </patternFill>
      </fill>
      <alignment horizontal="general" vertical="center" textRotation="0" wrapText="0" indent="0" justifyLastLine="0" shrinkToFit="0" readingOrder="0"/>
    </dxf>
    <dxf>
      <font>
        <sz val="10"/>
        <name val="Aptos"/>
      </font>
      <alignment horizontal="general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numFmt numFmtId="4" formatCode="#,##0.00"/>
      <fill>
        <patternFill patternType="solid">
          <fgColor indexed="64"/>
          <bgColor rgb="FFD9EAF7"/>
        </patternFill>
      </fill>
      <alignment horizontal="general" vertical="center" textRotation="0" wrapText="0" indent="0" justifyLastLine="0" shrinkToFit="0" readingOrder="0"/>
    </dxf>
    <dxf>
      <font>
        <sz val="10"/>
        <name val="Aptos"/>
      </font>
      <numFmt numFmtId="4" formatCode="#,##0.00"/>
      <alignment horizontal="general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numFmt numFmtId="4" formatCode="#,##0.00"/>
      <fill>
        <patternFill patternType="solid">
          <fgColor indexed="64"/>
          <bgColor rgb="FFD9EAF7"/>
        </patternFill>
      </fill>
      <alignment horizontal="general" vertical="center" textRotation="0" wrapText="0" indent="0" justifyLastLine="0" shrinkToFit="0" readingOrder="0"/>
    </dxf>
    <dxf>
      <font>
        <sz val="10"/>
        <name val="Aptos"/>
      </font>
      <numFmt numFmtId="4" formatCode="#,##0.00"/>
      <alignment horizontal="general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solid">
          <fgColor indexed="64"/>
          <bgColor rgb="FFD9EAF7"/>
        </patternFill>
      </fill>
      <alignment horizontal="general" vertical="center" textRotation="0" wrapText="0" indent="0" justifyLastLine="0" shrinkToFit="0" readingOrder="0"/>
    </dxf>
    <dxf>
      <font>
        <sz val="10"/>
        <name val="Aptos"/>
      </font>
      <alignment horizontal="general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solid">
          <fgColor indexed="64"/>
          <bgColor rgb="FFD9EAF7"/>
        </patternFill>
      </fill>
      <alignment horizontal="general" vertical="center" textRotation="0" wrapText="0" indent="0" justifyLastLine="0" shrinkToFit="0" readingOrder="0"/>
    </dxf>
    <dxf>
      <font>
        <sz val="10"/>
        <name val="Aptos"/>
      </font>
      <alignment horizontal="general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solid">
          <fgColor indexed="64"/>
          <bgColor rgb="FFD9EAF7"/>
        </patternFill>
      </fill>
      <alignment horizontal="general" vertical="center" textRotation="0" wrapText="0" indent="0" justifyLastLine="0" shrinkToFit="0" readingOrder="0"/>
    </dxf>
    <dxf>
      <font>
        <sz val="10"/>
        <name val="Aptos"/>
      </font>
      <alignment horizontal="general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solid">
          <fgColor indexed="64"/>
          <bgColor rgb="FFD9EAF7"/>
        </patternFill>
      </fill>
      <alignment horizontal="general" vertical="center" textRotation="0" wrapText="0" indent="0" justifyLastLine="0" shrinkToFit="0" readingOrder="0"/>
    </dxf>
    <dxf>
      <font>
        <sz val="10"/>
        <name val="Aptos"/>
      </font>
      <alignment horizontal="general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solid">
          <fgColor indexed="64"/>
          <bgColor rgb="FFD9EAF7"/>
        </patternFill>
      </fill>
      <alignment horizontal="general" vertical="center" textRotation="0" wrapText="0" indent="0" justifyLastLine="0" shrinkToFit="0" readingOrder="0"/>
    </dxf>
    <dxf>
      <font>
        <sz val="10"/>
        <name val="Aptos"/>
      </font>
      <alignment horizontal="general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solid">
          <fgColor indexed="64"/>
          <bgColor rgb="FFD9EAF7"/>
        </patternFill>
      </fill>
      <alignment horizontal="general" vertical="center" textRotation="0" wrapText="0" indent="0" justifyLastLine="0" shrinkToFit="0" readingOrder="0"/>
    </dxf>
    <dxf>
      <font>
        <sz val="10"/>
        <name val="Aptos"/>
      </font>
      <numFmt numFmtId="164" formatCode="dd/mm/yyyy"/>
      <alignment horizontal="general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solid">
          <fgColor indexed="64"/>
          <bgColor rgb="FFD9EAF7"/>
        </patternFill>
      </fill>
      <alignment horizontal="general" vertical="center" textRotation="0" wrapText="0" indent="0" justifyLastLine="0" shrinkToFit="0" readingOrder="0"/>
    </dxf>
    <dxf>
      <font>
        <sz val="10"/>
        <name val="Aptos"/>
      </font>
      <numFmt numFmtId="164" formatCode="dd/mm/yyyy"/>
      <alignment horizontal="general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solid">
          <fgColor indexed="64"/>
          <bgColor rgb="FFD9EAF7"/>
        </patternFill>
      </fill>
      <alignment horizontal="general" vertical="center" textRotation="0" wrapText="1" indent="0" justifyLastLine="0" shrinkToFit="0" readingOrder="0"/>
    </dxf>
    <dxf>
      <font>
        <sz val="10"/>
        <name val="Aptos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solid">
          <fgColor indexed="64"/>
          <bgColor rgb="FFD9EAF7"/>
        </patternFill>
      </fill>
      <alignment horizontal="general" vertical="center" textRotation="0" wrapText="0" indent="0" justifyLastLine="0" shrinkToFit="0" readingOrder="0"/>
    </dxf>
    <dxf>
      <font>
        <sz val="10"/>
        <name val="Aptos"/>
      </font>
      <alignment horizontal="general" vertical="center" textRotation="0" indent="0" justifyLastLine="0" shrinkToFit="0" readingOrder="0"/>
    </dxf>
    <dxf>
      <font>
        <b/>
      </font>
      <fill>
        <patternFill patternType="solid">
          <fgColor indexed="64"/>
          <bgColor rgb="FFD9EAF7"/>
        </patternFill>
      </fill>
    </dxf>
    <dxf>
      <font>
        <sz val="10"/>
        <name val="Aptos"/>
      </font>
      <alignment horizontal="general" vertical="center" textRotation="0" indent="0" justifyLastLine="0" shrinkToFit="0" readingOrder="0"/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164" formatCode="dd/mm/yyyy"/>
    </dxf>
    <dxf>
      <font>
        <sz val="10"/>
        <name val="Aptos"/>
      </font>
    </dxf>
    <dxf>
      <font>
        <sz val="10"/>
        <name val="Aptos"/>
      </font>
      <numFmt numFmtId="164" formatCode="dd/mm/yyyy"/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solid">
          <fgColor indexed="64"/>
          <bgColor rgb="FFD9EAF7"/>
        </patternFill>
      </fill>
      <alignment horizontal="general" vertical="center" textRotation="0" wrapText="0" indent="0" justifyLastLine="0" shrinkToFit="0" readingOrder="0"/>
    </dxf>
    <dxf>
      <font>
        <sz val="10"/>
        <name val="Aptos"/>
      </font>
      <numFmt numFmtId="164" formatCode="dd/mm/yyyy"/>
      <alignment horizontal="general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solid">
          <fgColor indexed="64"/>
          <bgColor rgb="FFD9EAF7"/>
        </patternFill>
      </fill>
      <alignment horizontal="general" vertical="center" textRotation="0" wrapText="1" indent="0" justifyLastLine="0" shrinkToFit="0" readingOrder="0"/>
    </dxf>
    <dxf>
      <font>
        <sz val="10"/>
        <name val="Aptos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solid">
          <fgColor indexed="64"/>
          <bgColor rgb="FFD9EAF7"/>
        </patternFill>
      </fill>
      <alignment horizontal="general" vertical="center" textRotation="0" wrapText="0" indent="0" justifyLastLine="0" shrinkToFit="0" readingOrder="0"/>
    </dxf>
    <dxf>
      <font>
        <sz val="10"/>
        <name val="Aptos"/>
      </font>
      <alignment horizontal="general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solid">
          <fgColor indexed="64"/>
          <bgColor rgb="FFD9EAF7"/>
        </patternFill>
      </fill>
      <alignment horizontal="general" vertical="center" textRotation="0" wrapText="0" indent="0" justifyLastLine="0" shrinkToFit="0" readingOrder="0"/>
    </dxf>
    <dxf>
      <font>
        <sz val="10"/>
        <name val="Aptos"/>
      </font>
      <alignment horizontal="general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numFmt numFmtId="4" formatCode="#,##0.00"/>
      <fill>
        <patternFill patternType="solid">
          <fgColor indexed="64"/>
          <bgColor rgb="FFD9EAF7"/>
        </patternFill>
      </fill>
      <alignment horizontal="general" vertical="center" textRotation="0" wrapText="0" indent="0" justifyLastLine="0" shrinkToFit="0" readingOrder="0"/>
    </dxf>
    <dxf>
      <font>
        <sz val="10"/>
        <name val="Aptos"/>
      </font>
      <numFmt numFmtId="4" formatCode="#,##0.00"/>
      <alignment horizontal="general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numFmt numFmtId="4" formatCode="#,##0.00"/>
      <fill>
        <patternFill patternType="solid">
          <fgColor indexed="64"/>
          <bgColor rgb="FFD9EAF7"/>
        </patternFill>
      </fill>
      <alignment horizontal="general" vertical="center" textRotation="0" wrapText="0" indent="0" justifyLastLine="0" shrinkToFit="0" readingOrder="0"/>
    </dxf>
    <dxf>
      <font>
        <sz val="10"/>
        <name val="Aptos"/>
      </font>
      <numFmt numFmtId="4" formatCode="#,##0.00"/>
      <alignment horizontal="general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solid">
          <fgColor indexed="64"/>
          <bgColor rgb="FFD9EAF7"/>
        </patternFill>
      </fill>
      <alignment horizontal="general" vertical="center" textRotation="0" wrapText="0" indent="0" justifyLastLine="0" shrinkToFit="0" readingOrder="0"/>
    </dxf>
    <dxf>
      <font>
        <sz val="10"/>
        <name val="Aptos"/>
      </font>
      <alignment horizontal="general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solid">
          <fgColor indexed="64"/>
          <bgColor rgb="FFD9EAF7"/>
        </patternFill>
      </fill>
      <alignment horizontal="general" vertical="center" textRotation="0" wrapText="0" indent="0" justifyLastLine="0" shrinkToFit="0" readingOrder="0"/>
    </dxf>
    <dxf>
      <font>
        <sz val="10"/>
        <name val="Aptos"/>
      </font>
      <alignment horizontal="general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solid">
          <fgColor indexed="64"/>
          <bgColor rgb="FFD9EAF7"/>
        </patternFill>
      </fill>
      <alignment horizontal="general" vertical="center" textRotation="0" wrapText="0" indent="0" justifyLastLine="0" shrinkToFit="0" readingOrder="0"/>
    </dxf>
    <dxf>
      <font>
        <sz val="10"/>
        <name val="Aptos"/>
      </font>
      <alignment horizontal="general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solid">
          <fgColor indexed="64"/>
          <bgColor rgb="FFD9EAF7"/>
        </patternFill>
      </fill>
      <alignment horizontal="general" vertical="center" textRotation="0" wrapText="0" indent="0" justifyLastLine="0" shrinkToFit="0" readingOrder="0"/>
    </dxf>
    <dxf>
      <font>
        <sz val="10"/>
        <name val="Aptos"/>
      </font>
      <alignment horizontal="general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solid">
          <fgColor indexed="64"/>
          <bgColor rgb="FFD9EAF7"/>
        </patternFill>
      </fill>
      <alignment horizontal="general" vertical="center" textRotation="0" wrapText="0" indent="0" justifyLastLine="0" shrinkToFit="0" readingOrder="0"/>
    </dxf>
    <dxf>
      <font>
        <sz val="10"/>
        <name val="Aptos"/>
      </font>
      <alignment horizontal="general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solid">
          <fgColor indexed="64"/>
          <bgColor rgb="FFD9EAF7"/>
        </patternFill>
      </fill>
    </dxf>
    <dxf>
      <font>
        <sz val="10"/>
        <name val="Aptos"/>
      </font>
      <numFmt numFmtId="164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solid">
          <fgColor indexed="64"/>
          <bgColor rgb="FFD9EAF7"/>
        </patternFill>
      </fill>
    </dxf>
    <dxf>
      <font>
        <sz val="10"/>
        <name val="Aptos"/>
      </font>
      <numFmt numFmtId="164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solid">
          <fgColor indexed="64"/>
          <bgColor rgb="FFD9EAF7"/>
        </patternFill>
      </fill>
      <alignment horizontal="general" vertical="center" textRotation="0" wrapText="1" indent="0" justifyLastLine="0" shrinkToFit="0" readingOrder="0"/>
    </dxf>
    <dxf>
      <font>
        <sz val="10"/>
        <name val="Aptos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solid">
          <fgColor indexed="64"/>
          <bgColor rgb="FFD9EAF7"/>
        </patternFill>
      </fill>
      <alignment horizontal="general" vertical="center" textRotation="0" wrapText="0" indent="0" justifyLastLine="0" shrinkToFit="0" readingOrder="0"/>
    </dxf>
    <dxf>
      <font>
        <sz val="10"/>
        <name val="Aptos"/>
      </font>
      <alignment horizontal="general" vertical="center" textRotation="0" wrapText="0" indent="0" justifyLastLine="0" shrinkToFit="0" readingOrder="0"/>
    </dxf>
    <dxf>
      <font>
        <b/>
      </font>
      <fill>
        <patternFill patternType="solid">
          <fgColor indexed="64"/>
          <bgColor rgb="FFD9EAF7"/>
        </patternFill>
      </fill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164" formatCode="dd/mm/yyyy"/>
    </dxf>
    <dxf>
      <font>
        <sz val="10"/>
        <name val="Aptos"/>
      </font>
    </dxf>
    <dxf>
      <font>
        <sz val="10"/>
        <name val="Aptos"/>
      </font>
      <numFmt numFmtId="164" formatCode="dd/mm/yyyy"/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solid">
          <fgColor indexed="64"/>
          <bgColor rgb="FFD9EAF7"/>
        </patternFill>
      </fill>
      <alignment horizontal="general" vertical="center" textRotation="0" wrapText="0" indent="0" justifyLastLine="0" shrinkToFit="0" readingOrder="0"/>
    </dxf>
    <dxf>
      <font>
        <sz val="10"/>
        <name val="Aptos"/>
      </font>
      <numFmt numFmtId="164" formatCode="dd/mm/yyyy"/>
      <alignment horizontal="general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solid">
          <fgColor indexed="64"/>
          <bgColor rgb="FFD9EAF7"/>
        </patternFill>
      </fill>
      <alignment horizontal="general" vertical="center" textRotation="0" wrapText="1" indent="0" justifyLastLine="0" shrinkToFit="0" readingOrder="0"/>
    </dxf>
    <dxf>
      <font>
        <sz val="10"/>
        <name val="Aptos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solid">
          <fgColor indexed="64"/>
          <bgColor rgb="FFD9EAF7"/>
        </patternFill>
      </fill>
      <alignment horizontal="general" vertical="center" textRotation="0" wrapText="0" indent="0" justifyLastLine="0" shrinkToFit="0" readingOrder="0"/>
    </dxf>
    <dxf>
      <font>
        <sz val="10"/>
        <name val="Aptos"/>
      </font>
      <alignment horizontal="general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solid">
          <fgColor indexed="64"/>
          <bgColor rgb="FFD9EAF7"/>
        </patternFill>
      </fill>
      <alignment horizontal="general" vertical="center" textRotation="0" wrapText="0" indent="0" justifyLastLine="0" shrinkToFit="0" readingOrder="0"/>
    </dxf>
    <dxf>
      <font>
        <sz val="10"/>
        <name val="Aptos"/>
      </font>
      <alignment horizontal="general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numFmt numFmtId="4" formatCode="#,##0.00"/>
      <fill>
        <patternFill patternType="solid">
          <fgColor indexed="64"/>
          <bgColor rgb="FFD9EAF7"/>
        </patternFill>
      </fill>
      <alignment horizontal="general" vertical="center" textRotation="0" wrapText="0" indent="0" justifyLastLine="0" shrinkToFit="0" readingOrder="0"/>
    </dxf>
    <dxf>
      <font>
        <sz val="10"/>
        <name val="Aptos"/>
      </font>
      <numFmt numFmtId="4" formatCode="#,##0.00"/>
      <alignment horizontal="general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numFmt numFmtId="4" formatCode="#,##0.00"/>
      <fill>
        <patternFill patternType="solid">
          <fgColor indexed="64"/>
          <bgColor rgb="FFD9EAF7"/>
        </patternFill>
      </fill>
      <alignment horizontal="general" vertical="center" textRotation="0" wrapText="0" indent="0" justifyLastLine="0" shrinkToFit="0" readingOrder="0"/>
    </dxf>
    <dxf>
      <font>
        <sz val="10"/>
        <name val="Aptos"/>
      </font>
      <numFmt numFmtId="4" formatCode="#,##0.00"/>
      <alignment horizontal="general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solid">
          <fgColor indexed="64"/>
          <bgColor rgb="FFD9EAF7"/>
        </patternFill>
      </fill>
      <alignment horizontal="general" vertical="center" textRotation="0" wrapText="0" indent="0" justifyLastLine="0" shrinkToFit="0" readingOrder="0"/>
    </dxf>
    <dxf>
      <font>
        <sz val="10"/>
        <name val="Aptos"/>
      </font>
      <alignment horizontal="general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solid">
          <fgColor indexed="64"/>
          <bgColor rgb="FFD9EAF7"/>
        </patternFill>
      </fill>
      <alignment horizontal="general" vertical="center" textRotation="0" wrapText="0" indent="0" justifyLastLine="0" shrinkToFit="0" readingOrder="0"/>
    </dxf>
    <dxf>
      <font>
        <sz val="10"/>
        <name val="Aptos"/>
      </font>
      <alignment horizontal="general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solid">
          <fgColor indexed="64"/>
          <bgColor rgb="FFD9EAF7"/>
        </patternFill>
      </fill>
      <alignment horizontal="general" vertical="center" textRotation="0" wrapText="0" indent="0" justifyLastLine="0" shrinkToFit="0" readingOrder="0"/>
    </dxf>
    <dxf>
      <font>
        <sz val="10"/>
        <name val="Aptos"/>
      </font>
      <alignment horizontal="general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solid">
          <fgColor indexed="64"/>
          <bgColor rgb="FFD9EAF7"/>
        </patternFill>
      </fill>
      <alignment horizontal="general" vertical="center" textRotation="0" wrapText="0" indent="0" justifyLastLine="0" shrinkToFit="0" readingOrder="0"/>
    </dxf>
    <dxf>
      <font>
        <sz val="10"/>
        <name val="Aptos"/>
      </font>
      <alignment horizontal="general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solid">
          <fgColor indexed="64"/>
          <bgColor rgb="FFD9EAF7"/>
        </patternFill>
      </fill>
      <alignment horizontal="general" vertical="center" textRotation="0" wrapText="0" indent="0" justifyLastLine="0" shrinkToFit="0" readingOrder="0"/>
    </dxf>
    <dxf>
      <font>
        <sz val="10"/>
        <name val="Aptos"/>
      </font>
      <alignment horizontal="general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solid">
          <fgColor indexed="64"/>
          <bgColor rgb="FFD9EAF7"/>
        </patternFill>
      </fill>
      <alignment horizontal="general" vertical="center" textRotation="0" wrapText="0" indent="0" justifyLastLine="0" shrinkToFit="0" readingOrder="0"/>
    </dxf>
    <dxf>
      <font>
        <sz val="10"/>
        <name val="Aptos"/>
      </font>
      <numFmt numFmtId="164" formatCode="dd/mm/yyyy"/>
      <alignment horizontal="general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solid">
          <fgColor indexed="64"/>
          <bgColor rgb="FFD9EAF7"/>
        </patternFill>
      </fill>
      <alignment horizontal="general" vertical="center" textRotation="0" wrapText="0" indent="0" justifyLastLine="0" shrinkToFit="0" readingOrder="0"/>
    </dxf>
    <dxf>
      <font>
        <sz val="10"/>
        <name val="Aptos"/>
      </font>
      <numFmt numFmtId="164" formatCode="dd/mm/yyyy"/>
      <alignment horizontal="general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solid">
          <fgColor indexed="64"/>
          <bgColor rgb="FFD9EAF7"/>
        </patternFill>
      </fill>
      <alignment horizontal="general" vertical="center" textRotation="0" wrapText="1" indent="0" justifyLastLine="0" shrinkToFit="0" readingOrder="0"/>
    </dxf>
    <dxf>
      <font>
        <sz val="10"/>
        <name val="Aptos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solid">
          <fgColor indexed="64"/>
          <bgColor rgb="FFD9EAF7"/>
        </patternFill>
      </fill>
      <alignment horizontal="general" vertical="center" textRotation="0" wrapText="0" indent="0" justifyLastLine="0" shrinkToFit="0" readingOrder="0"/>
    </dxf>
    <dxf>
      <font>
        <sz val="10"/>
        <name val="Aptos"/>
      </font>
      <alignment horizontal="general" vertical="center" textRotation="0" indent="0" justifyLastLine="0" shrinkToFit="0" readingOrder="0"/>
    </dxf>
    <dxf>
      <font>
        <b/>
      </font>
      <fill>
        <patternFill patternType="solid">
          <fgColor indexed="64"/>
          <bgColor rgb="FFD9EAF7"/>
        </patternFill>
      </fill>
    </dxf>
    <dxf>
      <font>
        <sz val="10"/>
        <name val="Aptos"/>
      </font>
      <alignment horizontal="general" vertical="center" textRotation="0" indent="0" justifyLastLine="0" shrinkToFit="0" readingOrder="0"/>
    </dxf>
    <dxf>
      <font>
        <sz val="10"/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164" formatCode="dd/mm/yyyy"/>
    </dxf>
    <dxf>
      <font>
        <sz val="10"/>
        <name val="Aptos"/>
      </font>
    </dxf>
    <dxf>
      <font>
        <sz val="10"/>
        <name val="Aptos"/>
      </font>
      <numFmt numFmtId="164" formatCode="dd/mm/yyyy"/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solid">
          <fgColor indexed="64"/>
          <bgColor rgb="FFD9EAF7"/>
        </patternFill>
      </fill>
    </dxf>
    <dxf>
      <font>
        <sz val="10"/>
        <name val="Aptos"/>
      </font>
      <numFmt numFmtId="164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solid">
          <fgColor indexed="64"/>
          <bgColor rgb="FFD9EAF7"/>
        </patternFill>
      </fill>
      <alignment horizontal="general" vertical="bottom" textRotation="0" wrapText="1" indent="0" justifyLastLine="0" shrinkToFit="0" readingOrder="0"/>
    </dxf>
    <dxf>
      <font>
        <sz val="10"/>
        <name val="Aptos"/>
      </font>
      <alignment wrapText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solid">
          <fgColor indexed="64"/>
          <bgColor rgb="FFD9EAF7"/>
        </patternFill>
      </fill>
    </dxf>
    <dxf>
      <font>
        <sz val="10"/>
        <name val="Aptos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solid">
          <fgColor indexed="64"/>
          <bgColor rgb="FFD9EAF7"/>
        </patternFill>
      </fill>
    </dxf>
    <dxf>
      <font>
        <sz val="10"/>
        <name val="Aptos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numFmt numFmtId="4" formatCode="#,##0.00"/>
      <fill>
        <patternFill patternType="solid">
          <fgColor indexed="64"/>
          <bgColor rgb="FFD9EAF7"/>
        </patternFill>
      </fill>
    </dxf>
    <dxf>
      <font>
        <sz val="10"/>
        <name val="Aptos"/>
      </font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numFmt numFmtId="4" formatCode="#,##0.00"/>
      <fill>
        <patternFill patternType="solid">
          <fgColor indexed="64"/>
          <bgColor rgb="FFD9EAF7"/>
        </patternFill>
      </fill>
    </dxf>
    <dxf>
      <font>
        <sz val="10"/>
        <name val="Aptos"/>
      </font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solid">
          <fgColor indexed="64"/>
          <bgColor rgb="FFD9EAF7"/>
        </patternFill>
      </fill>
    </dxf>
    <dxf>
      <font>
        <sz val="10"/>
        <name val="Aptos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solid">
          <fgColor indexed="64"/>
          <bgColor rgb="FFD9EAF7"/>
        </patternFill>
      </fill>
    </dxf>
    <dxf>
      <font>
        <sz val="10"/>
        <name val="Aptos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solid">
          <fgColor indexed="64"/>
          <bgColor rgb="FFD9EAF7"/>
        </patternFill>
      </fill>
    </dxf>
    <dxf>
      <font>
        <sz val="10"/>
        <name val="Aptos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solid">
          <fgColor indexed="64"/>
          <bgColor rgb="FFD9EAF7"/>
        </patternFill>
      </fill>
    </dxf>
    <dxf>
      <font>
        <sz val="10"/>
        <name val="Aptos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solid">
          <fgColor indexed="64"/>
          <bgColor rgb="FFD9EAF7"/>
        </patternFill>
      </fill>
    </dxf>
    <dxf>
      <font>
        <sz val="10"/>
        <name val="Aptos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solid">
          <fgColor indexed="64"/>
          <bgColor rgb="FFD9EAF7"/>
        </patternFill>
      </fill>
    </dxf>
    <dxf>
      <font>
        <sz val="10"/>
        <name val="Aptos"/>
      </font>
      <numFmt numFmtId="164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solid">
          <fgColor indexed="64"/>
          <bgColor rgb="FFD9EAF7"/>
        </patternFill>
      </fill>
    </dxf>
    <dxf>
      <font>
        <sz val="10"/>
        <name val="Aptos"/>
      </font>
      <numFmt numFmtId="164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solid">
          <fgColor indexed="64"/>
          <bgColor rgb="FFD9EAF7"/>
        </patternFill>
      </fill>
      <alignment horizontal="general" vertical="top" textRotation="0" wrapText="1" indent="0" justifyLastLine="0" shrinkToFit="0" readingOrder="0"/>
    </dxf>
    <dxf>
      <font>
        <sz val="10"/>
        <name val="Aptos"/>
      </font>
      <alignment vertical="top" wrapText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solid">
          <fgColor indexed="64"/>
          <bgColor rgb="FFD9EAF7"/>
        </patternFill>
      </fill>
      <alignment horizontal="general" vertical="top" textRotation="0" wrapText="1" indent="0" justifyLastLine="0" shrinkToFit="0" readingOrder="0"/>
    </dxf>
    <dxf>
      <font>
        <sz val="10"/>
        <name val="Aptos"/>
      </font>
      <alignment horizontal="general" vertical="top" textRotation="0" wrapText="1" indent="0" justifyLastLine="0" shrinkToFit="0" readingOrder="0"/>
    </dxf>
    <dxf>
      <font>
        <b/>
      </font>
      <fill>
        <patternFill patternType="solid">
          <fgColor indexed="64"/>
          <bgColor rgb="FFD9EAF7"/>
        </patternFill>
      </fill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164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164" formatCode="dd/mm/yyyy"/>
    </dxf>
    <dxf>
      <font>
        <sz val="10"/>
        <name val="Aptos"/>
      </font>
      <numFmt numFmtId="164" formatCode="dd/mm/yyyy"/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sz val="10"/>
        <name val="Aptos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solid">
          <fgColor indexed="64"/>
          <bgColor rgb="FFD9EAF7"/>
        </patternFill>
      </fill>
    </dxf>
    <dxf>
      <font>
        <sz val="10"/>
        <name val="Aptos"/>
      </font>
      <numFmt numFmtId="164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solid">
          <fgColor indexed="64"/>
          <bgColor rgb="FFD9EAF7"/>
        </patternFill>
      </fill>
      <alignment horizontal="general" vertical="bottom" textRotation="0" wrapText="1" indent="0" justifyLastLine="0" shrinkToFit="0" readingOrder="0"/>
    </dxf>
    <dxf>
      <font>
        <sz val="10"/>
        <name val="Aptos"/>
      </font>
      <alignment wrapText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solid">
          <fgColor indexed="64"/>
          <bgColor rgb="FFD9EAF7"/>
        </patternFill>
      </fill>
    </dxf>
    <dxf>
      <font>
        <sz val="10"/>
        <name val="Aptos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solid">
          <fgColor indexed="64"/>
          <bgColor rgb="FFD9EAF7"/>
        </patternFill>
      </fill>
    </dxf>
    <dxf>
      <font>
        <sz val="10"/>
        <name val="Aptos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numFmt numFmtId="4" formatCode="#,##0.00"/>
      <fill>
        <patternFill patternType="solid">
          <fgColor indexed="64"/>
          <bgColor rgb="FFD9EAF7"/>
        </patternFill>
      </fill>
    </dxf>
    <dxf>
      <font>
        <sz val="10"/>
        <name val="Aptos"/>
      </font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numFmt numFmtId="4" formatCode="#,##0.00"/>
      <fill>
        <patternFill patternType="solid">
          <fgColor indexed="64"/>
          <bgColor rgb="FFD9EAF7"/>
        </patternFill>
      </fill>
    </dxf>
    <dxf>
      <font>
        <sz val="10"/>
        <name val="Aptos"/>
      </font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solid">
          <fgColor indexed="64"/>
          <bgColor rgb="FFD9EAF7"/>
        </patternFill>
      </fill>
    </dxf>
    <dxf>
      <font>
        <sz val="10"/>
        <name val="Aptos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solid">
          <fgColor indexed="64"/>
          <bgColor rgb="FFD9EAF7"/>
        </patternFill>
      </fill>
    </dxf>
    <dxf>
      <font>
        <sz val="10"/>
        <name val="Aptos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solid">
          <fgColor indexed="64"/>
          <bgColor rgb="FFD9EAF7"/>
        </patternFill>
      </fill>
    </dxf>
    <dxf>
      <font>
        <sz val="10"/>
        <name val="Aptos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solid">
          <fgColor indexed="64"/>
          <bgColor rgb="FFD9EAF7"/>
        </patternFill>
      </fill>
    </dxf>
    <dxf>
      <font>
        <sz val="10"/>
        <name val="Aptos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solid">
          <fgColor indexed="64"/>
          <bgColor rgb="FFD9EAF7"/>
        </patternFill>
      </fill>
    </dxf>
    <dxf>
      <font>
        <sz val="10"/>
        <name val="Aptos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solid">
          <fgColor indexed="64"/>
          <bgColor rgb="FFD9EAF7"/>
        </patternFill>
      </fill>
    </dxf>
    <dxf>
      <font>
        <sz val="10"/>
        <name val="Aptos"/>
      </font>
      <numFmt numFmtId="164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solid">
          <fgColor indexed="64"/>
          <bgColor rgb="FFD9EAF7"/>
        </patternFill>
      </fill>
    </dxf>
    <dxf>
      <font>
        <sz val="10"/>
        <name val="Aptos"/>
      </font>
      <numFmt numFmtId="164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solid">
          <fgColor indexed="64"/>
          <bgColor rgb="FFD9EAF7"/>
        </patternFill>
      </fill>
      <alignment horizontal="general" vertical="top" textRotation="0" wrapText="1" indent="0" justifyLastLine="0" shrinkToFit="0" readingOrder="0"/>
    </dxf>
    <dxf>
      <font>
        <sz val="10"/>
        <name val="Aptos"/>
      </font>
      <alignment vertical="top" wrapText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solid">
          <fgColor indexed="64"/>
          <bgColor rgb="FFD9EAF7"/>
        </patternFill>
      </fill>
    </dxf>
    <dxf>
      <font>
        <sz val="10"/>
        <name val="Aptos"/>
      </font>
    </dxf>
    <dxf>
      <font>
        <b/>
      </font>
      <fill>
        <patternFill patternType="solid">
          <fgColor indexed="64"/>
          <bgColor rgb="FFD9EAF7"/>
        </patternFill>
      </fill>
    </dxf>
    <dxf>
      <font>
        <sz val="10"/>
        <name val="Aptos"/>
      </font>
    </dxf>
    <dxf>
      <font>
        <sz val="10"/>
        <name val="Aptos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164" formatCode="dd/mm/yyyy"/>
      <fill>
        <patternFill patternType="solid">
          <fgColor indexed="64"/>
          <bgColor rgb="FFFFF8E1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fill>
        <patternFill patternType="solid">
          <fgColor indexed="64"/>
          <bgColor rgb="FFFFF8E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fill>
        <patternFill patternType="solid">
          <fgColor indexed="64"/>
          <bgColor rgb="FFFFF8E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fill>
        <patternFill patternType="solid">
          <fgColor indexed="64"/>
          <bgColor rgb="FFFFF8E1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4" formatCode="#,##0.00"/>
      <fill>
        <patternFill patternType="solid">
          <fgColor indexed="64"/>
          <bgColor rgb="FFFFF8E1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4" formatCode="#,##0.00"/>
      <fill>
        <patternFill patternType="solid">
          <fgColor indexed="64"/>
          <bgColor rgb="FFFFF8E1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fill>
        <patternFill patternType="solid">
          <fgColor indexed="64"/>
          <bgColor rgb="FFFFF8E1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fill>
        <patternFill patternType="solid">
          <fgColor indexed="64"/>
          <bgColor rgb="FFFFF8E1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1" formatCode="0"/>
      <fill>
        <patternFill patternType="solid">
          <fgColor indexed="64"/>
          <bgColor rgb="FFFFF8E1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1" formatCode="0"/>
      <fill>
        <patternFill patternType="solid">
          <fgColor indexed="64"/>
          <bgColor rgb="FFFFF8E1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1" formatCode="0"/>
      <fill>
        <patternFill patternType="solid">
          <fgColor indexed="64"/>
          <bgColor rgb="FFFFF8E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fill>
        <patternFill patternType="solid">
          <fgColor indexed="64"/>
          <bgColor rgb="FFFFF8E1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fill>
        <patternFill patternType="solid">
          <fgColor indexed="64"/>
          <bgColor rgb="FFFFF8E1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fill>
        <patternFill patternType="solid">
          <fgColor indexed="64"/>
          <bgColor rgb="FFFFF8E1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fill>
        <patternFill patternType="solid">
          <fgColor indexed="64"/>
          <bgColor rgb="FFFFF8E1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fill>
        <patternFill patternType="solid">
          <fgColor indexed="64"/>
          <bgColor rgb="FFFFF8E1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fill>
        <patternFill patternType="solid">
          <fgColor indexed="64"/>
          <bgColor rgb="FFFFF8E1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general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Cost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 Data'!$B$1</c:f>
              <c:strCache>
                <c:ptCount val="1"/>
                <c:pt idx="0">
                  <c:v>Annual Cost</c:v>
                </c:pt>
              </c:strCache>
            </c:strRef>
          </c:tx>
          <c:spPr>
            <a:solidFill>
              <a:srgbClr val="2F75B5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Data'!$A$2:$A$12</c:f>
              <c:strCache>
                <c:ptCount val="11"/>
                <c:pt idx="0">
                  <c:v>Acrobat Pro for teams Subscription</c:v>
                </c:pt>
                <c:pt idx="1">
                  <c:v>Autodesk CAD LT</c:v>
                </c:pt>
                <c:pt idx="2">
                  <c:v>Microsoft 365 NCE - Exchange Online (Plan 2)</c:v>
                </c:pt>
                <c:pt idx="3">
                  <c:v>Microsoft 365 NCE - OneDrive for Business (Plan 2)</c:v>
                </c:pt>
                <c:pt idx="4">
                  <c:v>Microsoft 365 NEC - Business Standard</c:v>
                </c:pt>
                <c:pt idx="5">
                  <c:v>Microsoft 365 NEC - Copilot Business</c:v>
                </c:pt>
                <c:pt idx="6">
                  <c:v>Parallels Desktop for Mac Pro Edition </c:v>
                </c:pt>
                <c:pt idx="7">
                  <c:v>Power BI Pro</c:v>
                </c:pt>
                <c:pt idx="8">
                  <c:v>Primavera P6</c:v>
                </c:pt>
                <c:pt idx="9">
                  <c:v>Project Professional 2024</c:v>
                </c:pt>
                <c:pt idx="10">
                  <c:v>Trimble SketchUp</c:v>
                </c:pt>
              </c:strCache>
            </c:strRef>
          </c:cat>
          <c:val>
            <c:numRef>
              <c:f>'Chart Data'!$B$2:$B$12</c:f>
              <c:numCache>
                <c:formatCode>#,##0</c:formatCode>
                <c:ptCount val="11"/>
                <c:pt idx="0">
                  <c:v>18800</c:v>
                </c:pt>
                <c:pt idx="1">
                  <c:v>82000</c:v>
                </c:pt>
                <c:pt idx="2">
                  <c:v>2920</c:v>
                </c:pt>
                <c:pt idx="3">
                  <c:v>3650</c:v>
                </c:pt>
                <c:pt idx="4">
                  <c:v>227760</c:v>
                </c:pt>
                <c:pt idx="5">
                  <c:v>253440</c:v>
                </c:pt>
                <c:pt idx="6">
                  <c:v>2200</c:v>
                </c:pt>
                <c:pt idx="7">
                  <c:v>18948</c:v>
                </c:pt>
                <c:pt idx="8">
                  <c:v>176800</c:v>
                </c:pt>
                <c:pt idx="9">
                  <c:v>37000</c:v>
                </c:pt>
                <c:pt idx="10">
                  <c:v>28000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7C-4D65-89AF-3BAB39191C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6241472"/>
        <c:axId val="1541180623"/>
      </c:barChart>
      <c:catAx>
        <c:axId val="20624147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180623"/>
        <c:crosses val="autoZero"/>
        <c:auto val="1"/>
        <c:lblAlgn val="ctr"/>
        <c:lblOffset val="100"/>
        <c:noMultiLvlLbl val="0"/>
      </c:catAx>
      <c:valAx>
        <c:axId val="1541180623"/>
        <c:scaling>
          <c:orientation val="minMax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41472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Assigned vs Available Seats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'Chart Data'!$C$1</c:f>
              <c:strCache>
                <c:ptCount val="1"/>
                <c:pt idx="0">
                  <c:v>Assigned Seats</c:v>
                </c:pt>
              </c:strCache>
            </c:strRef>
          </c:tx>
          <c:spPr>
            <a:solidFill>
              <a:srgbClr val="2F75B5"/>
            </a:solidFill>
            <a:ln>
              <a:noFill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Data'!$A$2:$A$12</c:f>
              <c:strCache>
                <c:ptCount val="11"/>
                <c:pt idx="0">
                  <c:v>Acrobat Pro for teams Subscription</c:v>
                </c:pt>
                <c:pt idx="1">
                  <c:v>Autodesk CAD LT</c:v>
                </c:pt>
                <c:pt idx="2">
                  <c:v>Microsoft 365 NCE - Exchange Online (Plan 2)</c:v>
                </c:pt>
                <c:pt idx="3">
                  <c:v>Microsoft 365 NCE - OneDrive for Business (Plan 2)</c:v>
                </c:pt>
                <c:pt idx="4">
                  <c:v>Microsoft 365 NEC - Business Standard</c:v>
                </c:pt>
                <c:pt idx="5">
                  <c:v>Microsoft 365 NEC - Copilot Business</c:v>
                </c:pt>
                <c:pt idx="6">
                  <c:v>Parallels Desktop for Mac Pro Edition </c:v>
                </c:pt>
                <c:pt idx="7">
                  <c:v>Power BI Pro</c:v>
                </c:pt>
                <c:pt idx="8">
                  <c:v>Primavera P6</c:v>
                </c:pt>
                <c:pt idx="9">
                  <c:v>Project Professional 2024</c:v>
                </c:pt>
                <c:pt idx="10">
                  <c:v>Trimble SketchUp</c:v>
                </c:pt>
              </c:strCache>
            </c:strRef>
          </c:cat>
          <c:val>
            <c:numRef>
              <c:f>'Chart Data'!$C$2:$C$12</c:f>
              <c:numCache>
                <c:formatCode>0</c:formatCode>
                <c:ptCount val="11"/>
                <c:pt idx="0">
                  <c:v>2</c:v>
                </c:pt>
                <c:pt idx="1">
                  <c:v>5</c:v>
                </c:pt>
                <c:pt idx="2">
                  <c:v>1</c:v>
                </c:pt>
                <c:pt idx="3">
                  <c:v>1</c:v>
                </c:pt>
                <c:pt idx="4">
                  <c:v>73</c:v>
                </c:pt>
                <c:pt idx="5">
                  <c:v>23</c:v>
                </c:pt>
                <c:pt idx="6">
                  <c:v>1</c:v>
                </c:pt>
                <c:pt idx="7">
                  <c:v>4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A7-41D5-9A06-E2DEE0D4BF17}"/>
            </c:ext>
          </c:extLst>
        </c:ser>
        <c:ser>
          <c:idx val="1"/>
          <c:order val="1"/>
          <c:tx>
            <c:strRef>
              <c:f>'Chart Data'!$D$1</c:f>
              <c:strCache>
                <c:ptCount val="1"/>
                <c:pt idx="0">
                  <c:v>Available Seats</c:v>
                </c:pt>
              </c:strCache>
            </c:strRef>
          </c:tx>
          <c:spPr>
            <a:solidFill>
              <a:srgbClr val="A5A5A5"/>
            </a:solidFill>
            <a:ln>
              <a:noFill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Data'!$A$2:$A$12</c:f>
              <c:strCache>
                <c:ptCount val="11"/>
                <c:pt idx="0">
                  <c:v>Acrobat Pro for teams Subscription</c:v>
                </c:pt>
                <c:pt idx="1">
                  <c:v>Autodesk CAD LT</c:v>
                </c:pt>
                <c:pt idx="2">
                  <c:v>Microsoft 365 NCE - Exchange Online (Plan 2)</c:v>
                </c:pt>
                <c:pt idx="3">
                  <c:v>Microsoft 365 NCE - OneDrive for Business (Plan 2)</c:v>
                </c:pt>
                <c:pt idx="4">
                  <c:v>Microsoft 365 NEC - Business Standard</c:v>
                </c:pt>
                <c:pt idx="5">
                  <c:v>Microsoft 365 NEC - Copilot Business</c:v>
                </c:pt>
                <c:pt idx="6">
                  <c:v>Parallels Desktop for Mac Pro Edition </c:v>
                </c:pt>
                <c:pt idx="7">
                  <c:v>Power BI Pro</c:v>
                </c:pt>
                <c:pt idx="8">
                  <c:v>Primavera P6</c:v>
                </c:pt>
                <c:pt idx="9">
                  <c:v>Project Professional 2024</c:v>
                </c:pt>
                <c:pt idx="10">
                  <c:v>Trimble SketchUp</c:v>
                </c:pt>
              </c:strCache>
            </c:strRef>
          </c:cat>
          <c:val>
            <c:numRef>
              <c:f>'Chart Data'!$D$2:$D$12</c:f>
              <c:numCache>
                <c:formatCode>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A7-41D5-9A06-E2DEE0D4BF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3986096"/>
        <c:axId val="1541226223"/>
      </c:barChart>
      <c:catAx>
        <c:axId val="20398609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226223"/>
        <c:crosses val="autoZero"/>
        <c:auto val="1"/>
        <c:lblAlgn val="ctr"/>
        <c:lblOffset val="100"/>
        <c:noMultiLvlLbl val="0"/>
      </c:catAx>
      <c:valAx>
        <c:axId val="1541226223"/>
        <c:scaling>
          <c:orientation val="minMax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86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2" name="Annual Cost by Product">
          <a:extLst>
            <a:ext uri="{FF2B5EF4-FFF2-40B4-BE49-F238E27FC236}">
              <a16:creationId xmlns:a16="http://schemas.microsoft.com/office/drawing/2014/main" id="{61CE441B-47CD-E3D1-C1EE-30DE85E0B5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7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3" name="Seat Utilization by Product">
          <a:extLst>
            <a:ext uri="{FF2B5EF4-FFF2-40B4-BE49-F238E27FC236}">
              <a16:creationId xmlns:a16="http://schemas.microsoft.com/office/drawing/2014/main" id="{2C639A46-963C-B5C6-C478-FFDDFA0342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D278305-C7C9-4569-A48D-5042CFE70FF2}" name="tblLicenses" displayName="tblLicenses" ref="A3:P14" totalsRowShown="0" headerRowDxfId="355" dataDxfId="354">
  <autoFilter ref="A3:P14" xr:uid="{0D278305-C7C9-4569-A48D-5042CFE70FF2}"/>
  <sortState xmlns:xlrd2="http://schemas.microsoft.com/office/spreadsheetml/2017/richdata2" ref="A4:P14">
    <sortCondition ref="A3:A14"/>
  </sortState>
  <tableColumns count="16">
    <tableColumn id="2" xr3:uid="{CC76DB22-C076-4F58-BE16-0662D45B0F43}" name="Product / Service" dataDxfId="353"/>
    <tableColumn id="3" xr3:uid="{34F18F0B-F797-4BD7-9233-AF0A2CD5C158}" name="Vendor" dataDxfId="352"/>
    <tableColumn id="4" xr3:uid="{93B332E0-416D-4566-96E0-5AB046712290}" name="Category" dataDxfId="351"/>
    <tableColumn id="5" xr3:uid="{9006D163-4CB4-4BF4-8985-FCFAF925BB79}" name="License Type" dataDxfId="350"/>
    <tableColumn id="6" xr3:uid="{BE509DD1-5E5D-4EA9-B7B6-99E476658FE6}" name="License Key / Contract Ref" dataDxfId="349"/>
    <tableColumn id="7" xr3:uid="{FC438CD2-8B81-49AD-BB90-2B1244FB51F9}" name="Total Seats" dataDxfId="348"/>
    <tableColumn id="8" xr3:uid="{CDF83FCE-3D1C-450C-846E-D3A7DC342D14}" name="Assigned Seats" dataDxfId="347"/>
    <tableColumn id="9" xr3:uid="{43DDC02F-C32B-4544-B183-CE81ACA7F2CA}" name="Available Seats" dataDxfId="346">
      <calculatedColumnFormula>MAX(0,tblLicenses[[#This Row],[Total Seats]]-tblLicenses[[#This Row],[Assigned Seats]])</calculatedColumnFormula>
    </tableColumn>
    <tableColumn id="13" xr3:uid="{49414BD6-03C1-4038-BCF0-A7FFB8A53501}" name="Renewal Type" dataDxfId="345"/>
    <tableColumn id="14" xr3:uid="{F4F3CDB6-2EB7-4177-A393-2A93EF70A3EA}" name="Billing Cycle" dataDxfId="344"/>
    <tableColumn id="15" xr3:uid="{3B69BA2A-91CA-4F8C-906B-E3E4CB17B790}" name="Unit Cost" dataDxfId="343"/>
    <tableColumn id="17" xr3:uid="{3AB3F63C-61A7-49A0-A5A2-8EED2388CBFE}" name="Annual Cost" dataDxfId="342">
      <calculatedColumnFormula>IF(tblLicenses[[#This Row],[Billing Cycle]]="Monthly",tblLicenses[[#This Row],[Unit Cost]]*12*tblLicenses[[#This Row],[Total Seats]],IF(tblLicenses[[#This Row],[Billing Cycle]]="Quarterly",tblLicenses[[#This Row],[Unit Cost]]*4*tblLicenses[[#This Row],[Total Seats]],tblLicenses[[#This Row],[Unit Cost]]*tblLicenses[[#This Row],[Total Seats]]))</calculatedColumnFormula>
    </tableColumn>
    <tableColumn id="18" xr3:uid="{13142155-3AA2-459C-A307-A88CA230544E}" name="Owner" dataDxfId="341"/>
    <tableColumn id="29" xr3:uid="{CAE4A518-7773-4771-9761-301BF107A8A4}" name="Status" dataDxfId="340"/>
    <tableColumn id="24" xr3:uid="{AFA58100-2C37-4CDD-8702-AD5E46CEAF83}" name="Notes" dataDxfId="339"/>
    <tableColumn id="25" xr3:uid="{7AC98780-F666-4810-AA59-D19F0F4E1A7F}" name="Last Updated" dataDxfId="338">
      <calculatedColumnFormula>TODAY()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A73529F-D621-4AA6-BD82-246E20C0E180}" name="tblMicrosoftLicenses" displayName="tblMicrosoftLicenses" ref="A4:O11" totalsRowCount="1" headerRowDxfId="337" dataDxfId="336" totalsRowDxfId="335">
  <autoFilter ref="A4:O10" xr:uid="{2A73529F-D621-4AA6-BD82-246E20C0E180}"/>
  <tableColumns count="15">
    <tableColumn id="1" xr3:uid="{0CE770BF-4F52-474A-AAAE-1B1E61398E6F}" name="Product / Service" totalsRowLabel="Total Costs" dataDxfId="334" totalsRowDxfId="333"/>
    <tableColumn id="2" xr3:uid="{7E3C4EF4-D3A4-452A-A123-21AF84ECE098}" name="License Key / Contract Ref" dataDxfId="332" totalsRowDxfId="331">
      <calculatedColumnFormula>_xlfn.LET(_xlpm.x,_xlfn.XLOOKUP(tblMicrosoftLicenses[[#This Row],[Product / Service]],tblLicenses[Product / Service],tblLicenses[License Key / Contract Ref],""),IF(_xlpm.x=0,"",_xlpm.x))</calculatedColumnFormula>
    </tableColumn>
    <tableColumn id="3" xr3:uid="{A6F8829E-EF2D-4324-973A-00C4C4B46C5A}" name="Purchase Date" dataDxfId="330" totalsRowDxfId="329"/>
    <tableColumn id="4" xr3:uid="{8E2A1AC6-D487-43C9-9194-2B816A55891E}" name="Start Date" dataDxfId="328" totalsRowDxfId="327"/>
    <tableColumn id="6" xr3:uid="{A9E78F44-BCA8-45CA-A06F-BED6E6D74E03}" name="Total Seats" dataDxfId="326" totalsRowDxfId="325">
      <calculatedColumnFormula>_xlfn.XLOOKUP(tblMicrosoftLicenses[[#This Row],[Product / Service]],tblLicenses[Product / Service],tblLicenses[Total Seats],0)</calculatedColumnFormula>
    </tableColumn>
    <tableColumn id="7" xr3:uid="{3CC50179-569E-43DD-8C00-DE62B28B221B}" name="Assigned Seats" dataDxfId="324" totalsRowDxfId="323">
      <calculatedColumnFormula>COUNTIFS(tblMicrosoftAssignments[Product / Service],tblMicrosoftLicenses[[#This Row],[Product / Service]],tblMicrosoftAssignments[Assignment Status],"Assigned")</calculatedColumnFormula>
    </tableColumn>
    <tableColumn id="8" xr3:uid="{A387AEB7-5585-4A40-B344-0668AD183010}" name="Available Seats" dataDxfId="322" totalsRowDxfId="321">
      <calculatedColumnFormula>MAX(0,tblMicrosoftLicenses[[#This Row],[Total Seats]]-tblMicrosoftLicenses[[#This Row],[Assigned Seats]])</calculatedColumnFormula>
    </tableColumn>
    <tableColumn id="9" xr3:uid="{C137B107-3D7E-4140-8CEC-F8449E5D9898}" name="Renewal Type" dataDxfId="320" totalsRowDxfId="319">
      <calculatedColumnFormula>_xlfn.LET(_xlpm.x,_xlfn.XLOOKUP(tblMicrosoftLicenses[[#This Row],[Product / Service]],tblLicenses[Product / Service],tblLicenses[Renewal Type],""),IF(_xlpm.x=0,"",_xlpm.x))</calculatedColumnFormula>
    </tableColumn>
    <tableColumn id="10" xr3:uid="{DF10E9A8-6753-44C9-9703-6F65F38B36C5}" name="Billing Cycle" dataDxfId="318" totalsRowDxfId="317">
      <calculatedColumnFormula>_xlfn.LET(_xlpm.x,_xlfn.XLOOKUP(tblMicrosoftLicenses[[#This Row],[Product / Service]],tblLicenses[Product / Service],tblLicenses[Billing Cycle],""),IF(_xlpm.x=0,"",_xlpm.x))</calculatedColumnFormula>
    </tableColumn>
    <tableColumn id="11" xr3:uid="{4CB775C4-00AD-47CA-AC78-1376F5D33AC5}" name="Unit Cost" totalsRowFunction="sum" dataDxfId="316" totalsRowDxfId="315">
      <calculatedColumnFormula>_xlfn.XLOOKUP(tblMicrosoftLicenses[[#This Row],[Product / Service]],tblLicenses[Product / Service],tblLicenses[Unit Cost],0)</calculatedColumnFormula>
    </tableColumn>
    <tableColumn id="12" xr3:uid="{06BF44D8-B637-4DB8-BFCF-CC1A19B21F24}" name="Annual Cost" totalsRowFunction="sum" dataDxfId="314" totalsRowDxfId="313">
      <calculatedColumnFormula>_xlfn.XLOOKUP(tblMicrosoftLicenses[[#This Row],[Product / Service]],tblLicenses[Product / Service],tblLicenses[Annual Cost],0)</calculatedColumnFormula>
    </tableColumn>
    <tableColumn id="13" xr3:uid="{E78BEDB7-1E73-4E2E-B54A-4C71F0643A6E}" name="Owner" dataDxfId="312" totalsRowDxfId="311">
      <calculatedColumnFormula>_xlfn.LET(_xlpm.x,_xlfn.XLOOKUP(tblMicrosoftLicenses[[#This Row],[Product / Service]],tblLicenses[Product / Service],tblLicenses[Owner],""),IF(_xlpm.x=0,"",_xlpm.x))</calculatedColumnFormula>
    </tableColumn>
    <tableColumn id="14" xr3:uid="{FEB23C9E-EC98-4DF2-8D91-729C707B9527}" name="Status" dataDxfId="310" totalsRowDxfId="309">
      <calculatedColumnFormula>_xlfn.XLOOKUP(tblMicrosoftLicenses[[#This Row],[Product / Service]],tblLicenses[Product / Service],tblLicenses[Status],"")</calculatedColumnFormula>
    </tableColumn>
    <tableColumn id="17" xr3:uid="{7FCBB8EA-F72F-4F6D-9759-A39785F82C03}" name="Notes" dataDxfId="308" totalsRowDxfId="307">
      <calculatedColumnFormula>_xlfn.LET(_xlpm.x,_xlfn.XLOOKUP(tblMicrosoftLicenses[[#This Row],[Product / Service]],tblLicenses[Product / Service],tblLicenses[Notes],""),IF(_xlpm.x=0,"",_xlpm.x))</calculatedColumnFormula>
    </tableColumn>
    <tableColumn id="18" xr3:uid="{CE93BE43-56CB-4E3C-BF35-76762221262D}" name="Last Updated" totalsRowFunction="count" dataDxfId="306" totalsRowDxfId="305">
      <calculatedColumnFormula>_xlfn.XLOOKUP(tblMicrosoftLicenses[[#This Row],[Product / Service]],tblLicenses[Product / Service],tblLicenses[Last Updated],"")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604A0D2-F167-4068-8AC6-BC73C6CA2FC0}" name="tblMicrosoftAssignments" displayName="tblMicrosoftAssignments" ref="A14:K118" totalsRowShown="0" headerRowDxfId="304" dataDxfId="303">
  <autoFilter ref="A14:K118" xr:uid="{C604A0D2-F167-4068-8AC6-BC73C6CA2FC0}"/>
  <sortState xmlns:xlrd2="http://schemas.microsoft.com/office/spreadsheetml/2017/richdata2" ref="A15:K118">
    <sortCondition ref="A14:A118"/>
  </sortState>
  <tableColumns count="11">
    <tableColumn id="1" xr3:uid="{C4D2B596-808F-4B96-9827-01C6F2045C37}" name="Product / Service" dataDxfId="302"/>
    <tableColumn id="2" xr3:uid="{37E69AFF-F2A6-4CF7-919C-F0D960A8FEAF}" name="Seat No." dataDxfId="301"/>
    <tableColumn id="3" xr3:uid="{8C281CA3-1090-45C9-8A49-CFD4ACD7CFEC}" name="User Name" dataDxfId="300"/>
    <tableColumn id="4" xr3:uid="{D9494077-C836-47E0-B456-157BFE8CF159}" name="Account / Email" dataDxfId="299"/>
    <tableColumn id="5" xr3:uid="{D2EC3F2F-6172-4F93-92F9-1C7036FE5F9C}" name="Device / Hostname" dataDxfId="298"/>
    <tableColumn id="6" xr3:uid="{C45E3D65-CB7A-4AE0-B791-B338639CCDED}" name="Assigned Date" dataDxfId="297"/>
    <tableColumn id="9" xr3:uid="{5B104D6A-F700-406C-AA10-A8785756164B}" name="Expiry Date" dataDxfId="296"/>
    <tableColumn id="11" xr3:uid="{7D85DCE3-E597-4A67-BF89-5F71BBDF2213}" name="Days Remaining" dataDxfId="295">
      <calculatedColumnFormula>IF(tblMicrosoftAssignments[[#This Row],[Expiry Date]]="","",tblMicrosoftAssignments[[#This Row],[Expiry Date]]-TODAY())</calculatedColumnFormula>
    </tableColumn>
    <tableColumn id="10" xr3:uid="{86660EF5-A93C-4C30-90DA-D3883EA72CB3}" name="Expiry Status" dataDxfId="294">
      <calculatedColumnFormula>IF(tblMicrosoftAssignments[[#This Row],[Expiry Date]]="","No Expiry",IF(tblMicrosoftAssignments[[#This Row],[Expiry Date]]&lt;TODAY(),"Expired",IF(tblMicrosoftAssignments[[#This Row],[Expiry Date]]-TODAY()&lt;=30,"Renew Soon","Active")))</calculatedColumnFormula>
    </tableColumn>
    <tableColumn id="7" xr3:uid="{89CBE3E5-CD04-4155-9B21-2DED1C440957}" name="Assignment Status" dataDxfId="293">
      <calculatedColumnFormula>IF(tblMicrosoftAssignments[[#This Row],[User Name]]="","Unassigned","Assigned")</calculatedColumnFormula>
    </tableColumn>
    <tableColumn id="8" xr3:uid="{FEAEA9C4-5947-422F-BADA-97397455B606}" name="Notes" dataDxfId="29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C96D315-F9E5-4CB0-BA87-973144D73C29}" name="tblAcrobatDetails" displayName="tblAcrobatDetails" ref="A4:O6" totalsRowCount="1" headerRowDxfId="291" dataDxfId="290" totalsRowDxfId="289">
  <autoFilter ref="A4:O5" xr:uid="{0C96D315-F9E5-4CB0-BA87-973144D73C29}"/>
  <tableColumns count="15">
    <tableColumn id="1" xr3:uid="{64A08EB1-59F4-4CE0-87CE-84E33674715B}" name="Product / Service" totalsRowLabel="Total Costs" dataDxfId="288" totalsRowDxfId="287"/>
    <tableColumn id="2" xr3:uid="{C99B0DE0-5E83-4BF0-A457-C9E2F212B017}" name="License Key / Contract Ref" dataDxfId="286" totalsRowDxfId="285">
      <calculatedColumnFormula>_xlfn.LET(_xlpm.x,_xlfn.XLOOKUP(tblAcrobatDetails[[#This Row],[Product / Service]],tblLicenses[Product / Service],tblLicenses[License Key / Contract Ref],""),IF(_xlpm.x=0,"",_xlpm.x))</calculatedColumnFormula>
    </tableColumn>
    <tableColumn id="3" xr3:uid="{522754F6-5B2C-48F6-845F-944D44CF5CB7}" name="Purchase Date" dataDxfId="284" totalsRowDxfId="283"/>
    <tableColumn id="4" xr3:uid="{CFB81422-76C5-4561-9AFF-ED9D08F6CB1D}" name="Start Date" dataDxfId="282" totalsRowDxfId="281"/>
    <tableColumn id="6" xr3:uid="{DA225F7B-4B56-4A1A-84E2-CA0E8971B356}" name="Total Seats" dataDxfId="280" totalsRowDxfId="279">
      <calculatedColumnFormula>_xlfn.XLOOKUP(tblAcrobatDetails[[#This Row],[Product / Service]],tblLicenses[Product / Service],tblLicenses[Total Seats],0)</calculatedColumnFormula>
    </tableColumn>
    <tableColumn id="7" xr3:uid="{24858CC8-5E93-41FC-8614-4BAC2EA8B8DC}" name="Assigned Seats" dataDxfId="278" totalsRowDxfId="277">
      <calculatedColumnFormula>COUNTIF(tblAcrobatUsers[Assignment Status],"Assigned")</calculatedColumnFormula>
    </tableColumn>
    <tableColumn id="8" xr3:uid="{9E031278-9E89-42B0-A15A-655AC62D740E}" name="Available Seats" dataDxfId="276" totalsRowDxfId="275">
      <calculatedColumnFormula>MAX(0,tblAcrobatDetails[[#This Row],[Total Seats]]-tblAcrobatDetails[[#This Row],[Assigned Seats]])</calculatedColumnFormula>
    </tableColumn>
    <tableColumn id="9" xr3:uid="{52CEF809-FA06-4F2D-BEF9-B1546B374C49}" name="Renewal Type" dataDxfId="274" totalsRowDxfId="273">
      <calculatedColumnFormula>_xlfn.LET(_xlpm.x,_xlfn.XLOOKUP(tblAcrobatDetails[[#This Row],[Product / Service]],tblLicenses[Product / Service],tblLicenses[Renewal Type],""),IF(_xlpm.x=0,"",_xlpm.x))</calculatedColumnFormula>
    </tableColumn>
    <tableColumn id="10" xr3:uid="{D059FF02-5E2A-4429-BF49-55F044C9CFFF}" name="Billing Cycle" dataDxfId="272" totalsRowDxfId="271">
      <calculatedColumnFormula>_xlfn.LET(_xlpm.x,_xlfn.XLOOKUP(tblAcrobatDetails[[#This Row],[Product / Service]],tblLicenses[Product / Service],tblLicenses[Billing Cycle],""),IF(_xlpm.x=0,"",_xlpm.x))</calculatedColumnFormula>
    </tableColumn>
    <tableColumn id="11" xr3:uid="{B60AC0B8-F94F-4B63-A2D3-B77A6E7A8BC7}" name="Unit Cost" totalsRowFunction="sum" dataDxfId="270" totalsRowDxfId="269">
      <calculatedColumnFormula>_xlfn.XLOOKUP(tblAcrobatDetails[[#This Row],[Product / Service]],tblLicenses[Product / Service],tblLicenses[Unit Cost],0)</calculatedColumnFormula>
    </tableColumn>
    <tableColumn id="12" xr3:uid="{E73F081F-004C-4969-B00C-96681CE19796}" name="Annual Cost" totalsRowFunction="sum" dataDxfId="268" totalsRowDxfId="267">
      <calculatedColumnFormula>_xlfn.XLOOKUP(tblAcrobatDetails[[#This Row],[Product / Service]],tblLicenses[Product / Service],tblLicenses[Annual Cost],0)</calculatedColumnFormula>
    </tableColumn>
    <tableColumn id="13" xr3:uid="{D3990891-F838-4BD9-8547-7F5705519C7E}" name="Owner" dataDxfId="266" totalsRowDxfId="265">
      <calculatedColumnFormula>_xlfn.LET(_xlpm.x,_xlfn.XLOOKUP(tblAcrobatDetails[[#This Row],[Product / Service]],tblLicenses[Product / Service],tblLicenses[Owner],""),IF(_xlpm.x=0,"",_xlpm.x))</calculatedColumnFormula>
    </tableColumn>
    <tableColumn id="14" xr3:uid="{658AAC69-907E-4734-A61D-B58869E5DED2}" name="Status" dataDxfId="264" totalsRowDxfId="263">
      <calculatedColumnFormula>_xlfn.XLOOKUP(tblAcrobatDetails[[#This Row],[Product / Service]],tblLicenses[Product / Service],tblLicenses[Status],"")</calculatedColumnFormula>
    </tableColumn>
    <tableColumn id="17" xr3:uid="{B5FB72CB-B4AF-4879-9D06-4484056AF22C}" name="Notes" dataDxfId="262" totalsRowDxfId="261">
      <calculatedColumnFormula>_xlfn.LET(_xlpm.x,_xlfn.XLOOKUP(tblAcrobatDetails[[#This Row],[Product / Service]],tblLicenses[Product / Service],tblLicenses[Notes],""),IF(_xlpm.x=0,"",_xlpm.x))</calculatedColumnFormula>
    </tableColumn>
    <tableColumn id="18" xr3:uid="{8ADC6FFC-CBD8-4A88-A2A8-C0D21247902B}" name="Last Updated" totalsRowFunction="count" dataDxfId="260" totalsRowDxfId="259">
      <calculatedColumnFormula>_xlfn.XLOOKUP(tblAcrobatDetails[[#This Row],[Product / Service]],tblLicenses[Product / Service],tblLicenses[Last Updated],"")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0161B8E-35D4-4BEC-81C6-D5AE40400CE3}" name="tblAcrobatUsers" displayName="tblAcrobatUsers" ref="A9:K11" totalsRowShown="0" headerRowDxfId="258" dataDxfId="257">
  <autoFilter ref="A9:K11" xr:uid="{70161B8E-35D4-4BEC-81C6-D5AE40400CE3}"/>
  <tableColumns count="11">
    <tableColumn id="1" xr3:uid="{62255819-D6F9-4D82-A571-79F0C72FC121}" name="Seat No." dataDxfId="256"/>
    <tableColumn id="2" xr3:uid="{7D4202B4-F96D-485A-929D-A914CC3E5BA8}" name="User Name" dataDxfId="255"/>
    <tableColumn id="3" xr3:uid="{5B10618E-E19D-4E84-8F5A-E1EEC39CD4BD}" name="Account / Email" dataDxfId="254"/>
    <tableColumn id="4" xr3:uid="{FDEDD805-EB04-4D3C-B62B-81AAFA68FB47}" name="Device / Hostname" dataDxfId="253"/>
    <tableColumn id="5" xr3:uid="{0B307809-F624-4884-9A37-A1653FA57DE4}" name="Assigned Date" dataDxfId="252"/>
    <tableColumn id="6" xr3:uid="{55633B7D-12AC-4159-8BA5-FD61E6BC5EB1}" name="Assignment Status" dataDxfId="251">
      <calculatedColumnFormula>IF(tblAcrobatUsers[[#This Row],[User Name]]="","Unassigned","Assigned")</calculatedColumnFormula>
    </tableColumn>
    <tableColumn id="9" xr3:uid="{FB930067-AB9C-4656-B971-B16268FEDFB6}" name="Expiry Date" dataDxfId="250"/>
    <tableColumn id="11" xr3:uid="{1649F983-9326-4FD9-8777-3318EA70D34B}" name="Days Remaining" dataDxfId="249">
      <calculatedColumnFormula>IF(tblAcrobatUsers[[#This Row],[Expiry Date]]="","",tblAcrobatUsers[[#This Row],[Expiry Date]]-TODAY())</calculatedColumnFormula>
    </tableColumn>
    <tableColumn id="10" xr3:uid="{34E9034B-DCA7-4108-BE83-2BCC2487C1E6}" name="Expiry Status" dataDxfId="248">
      <calculatedColumnFormula>IF(tblAcrobatUsers[[#This Row],[Expiry Date]]="","No Expiry",IF(tblAcrobatUsers[[#This Row],[Expiry Date]]&lt;TODAY(),"Expired",IF(tblAcrobatUsers[[#This Row],[Expiry Date]]-TODAY()&lt;=30,"Renew Soon","Active")))</calculatedColumnFormula>
    </tableColumn>
    <tableColumn id="7" xr3:uid="{73DF8219-B015-405A-875B-7D0F15A3ED93}" name="Notes" dataDxfId="247"/>
    <tableColumn id="8" xr3:uid="{505A39ED-C5C3-4313-BE04-BEA7E2088139}" name="Product / Service" dataDxfId="24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00F1A7-C7BB-40D0-8327-92D774086CCF}" name="tblLicenseLists" displayName="tblLicenseLists" ref="A1:F8" totalsRowShown="0" headerRowDxfId="245" dataDxfId="244">
  <autoFilter ref="A1:F8" xr:uid="{4E00F1A7-C7BB-40D0-8327-92D774086CCF}"/>
  <tableColumns count="6">
    <tableColumn id="1" xr3:uid="{115DA210-1BC4-4D9D-AC19-F4D55167FAB9}" name="Category" dataDxfId="243"/>
    <tableColumn id="2" xr3:uid="{5DC5FBDE-9425-46E6-B29F-A235F6966DB6}" name="License Type" dataDxfId="242"/>
    <tableColumn id="3" xr3:uid="{108DA344-0CCD-4548-B1FF-B45F9ECDD078}" name="Renewal Type" dataDxfId="241"/>
    <tableColumn id="4" xr3:uid="{A78F3724-2889-47F5-9DB4-A9B4842C335F}" name="Billing Cycle" dataDxfId="240"/>
    <tableColumn id="5" xr3:uid="{91EC7905-B7AE-45A9-8BA9-41F1B7FDC104}" name="Currency" dataDxfId="239"/>
    <tableColumn id="6" xr3:uid="{55505E2E-DF4C-4FD5-933B-D6E7D8FD465C}" name="Department" dataDxfId="23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0654209-2810-4700-9A20-D886EB55644F}" name="tblProductSheets" displayName="tblProductSheets" ref="H1:I11" totalsRowShown="0">
  <autoFilter ref="H1:I11" xr:uid="{90654209-2810-4700-9A20-D886EB55644F}"/>
  <tableColumns count="2">
    <tableColumn id="1" xr3:uid="{6303CA50-6D99-4B47-B331-4621174FC0E8}" name="Product / Service"/>
    <tableColumn id="2" xr3:uid="{5992380E-FB53-4FDA-8312-CF6F3EA4A22D}" name="Detail Shee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2207798-0F46-42AE-BA47-FCABA1240B2C}" name="tblSketchUpDetails" displayName="tblSketchUpDetails" ref="A4:O6" totalsRowCount="1" headerRowDxfId="237" dataDxfId="236" totalsRowDxfId="235">
  <autoFilter ref="A4:O5" xr:uid="{D2207798-0F46-42AE-BA47-FCABA1240B2C}"/>
  <tableColumns count="15">
    <tableColumn id="1" xr3:uid="{ADA892A5-019B-4B37-A9FE-5A753083F0DF}" name="Product / Service" totalsRowLabel="Total Costs" dataDxfId="234" totalsRowDxfId="233"/>
    <tableColumn id="2" xr3:uid="{6EE96465-99A5-4BBD-B02A-B49DD01AB89B}" name="License Key / Contract Ref" dataDxfId="232" totalsRowDxfId="231">
      <calculatedColumnFormula>_xlfn.LET(_xlpm.x,_xlfn.XLOOKUP(tblSketchUpDetails[[#This Row],[Product / Service]],tblLicenses[Product / Service],tblLicenses[License Key / Contract Ref],""),IF(_xlpm.x=0,"",_xlpm.x))</calculatedColumnFormula>
    </tableColumn>
    <tableColumn id="3" xr3:uid="{960A31A7-2A53-42C9-BFB9-EBDA8854CF23}" name="Purchase Date" dataDxfId="230" totalsRowDxfId="229"/>
    <tableColumn id="4" xr3:uid="{FE431CF0-C813-46C0-936B-DD42419C2F1E}" name="Start Date" dataDxfId="228" totalsRowDxfId="227"/>
    <tableColumn id="6" xr3:uid="{5E662766-2CEB-43BC-9DF3-B22F13587744}" name="Total Seats" dataDxfId="226" totalsRowDxfId="225">
      <calculatedColumnFormula>_xlfn.XLOOKUP(tblSketchUpDetails[[#This Row],[Product / Service]],tblLicenses[Product / Service],tblLicenses[Total Seats],0)</calculatedColumnFormula>
    </tableColumn>
    <tableColumn id="7" xr3:uid="{1ACD2477-E5B6-4838-A32D-F9C873777770}" name="Assigned Seats" dataDxfId="224" totalsRowDxfId="223">
      <calculatedColumnFormula>COUNTIF(tblSketchUpUsers[Assignment Status],"Assigned")</calculatedColumnFormula>
    </tableColumn>
    <tableColumn id="8" xr3:uid="{9BBFBF16-A301-45DD-86C8-A2B04A20E88E}" name="Available Seats" dataDxfId="222" totalsRowDxfId="221">
      <calculatedColumnFormula>MAX(0,tblSketchUpDetails[[#This Row],[Total Seats]]-tblSketchUpDetails[[#This Row],[Assigned Seats]])</calculatedColumnFormula>
    </tableColumn>
    <tableColumn id="9" xr3:uid="{96D57D43-01EA-4C48-ACB0-30BAF9A09FA7}" name="Renewal Type" dataDxfId="220" totalsRowDxfId="219">
      <calculatedColumnFormula>_xlfn.LET(_xlpm.x,_xlfn.XLOOKUP(tblSketchUpDetails[[#This Row],[Product / Service]],tblLicenses[Product / Service],tblLicenses[Renewal Type],""),IF(_xlpm.x=0,"",_xlpm.x))</calculatedColumnFormula>
    </tableColumn>
    <tableColumn id="10" xr3:uid="{DA09B25D-E7C4-4D38-907C-8117AC006158}" name="Billing Cycle" dataDxfId="218" totalsRowDxfId="217">
      <calculatedColumnFormula>_xlfn.LET(_xlpm.x,_xlfn.XLOOKUP(tblSketchUpDetails[[#This Row],[Product / Service]],tblLicenses[Product / Service],tblLicenses[Billing Cycle],""),IF(_xlpm.x=0,"",_xlpm.x))</calculatedColumnFormula>
    </tableColumn>
    <tableColumn id="11" xr3:uid="{7DD31E40-77B5-4A6E-87D8-5F6AC6640C1C}" name="Unit Cost" totalsRowFunction="sum" dataDxfId="216" totalsRowDxfId="215">
      <calculatedColumnFormula>_xlfn.XLOOKUP(tblSketchUpDetails[[#This Row],[Product / Service]],tblLicenses[Product / Service],tblLicenses[Unit Cost],0)</calculatedColumnFormula>
    </tableColumn>
    <tableColumn id="12" xr3:uid="{5141232E-8F63-4AAF-9A47-6EF7E1F6A6EF}" name="Annual Cost" totalsRowFunction="sum" dataDxfId="214" totalsRowDxfId="213">
      <calculatedColumnFormula>_xlfn.XLOOKUP(tblSketchUpDetails[[#This Row],[Product / Service]],tblLicenses[Product / Service],tblLicenses[Annual Cost],0)</calculatedColumnFormula>
    </tableColumn>
    <tableColumn id="13" xr3:uid="{D506C847-ECB7-4817-8AB8-D9BE41204F0B}" name="Owner" dataDxfId="212" totalsRowDxfId="211">
      <calculatedColumnFormula>_xlfn.LET(_xlpm.x,_xlfn.XLOOKUP(tblSketchUpDetails[[#This Row],[Product / Service]],tblLicenses[Product / Service],tblLicenses[Owner],""),IF(_xlpm.x=0,"",_xlpm.x))</calculatedColumnFormula>
    </tableColumn>
    <tableColumn id="14" xr3:uid="{C756775D-ED9F-454E-A8EC-4F386489B1D2}" name="Status" dataDxfId="210" totalsRowDxfId="209">
      <calculatedColumnFormula>_xlfn.XLOOKUP(tblSketchUpDetails[[#This Row],[Product / Service]],tblLicenses[Product / Service],tblLicenses[Status],"")</calculatedColumnFormula>
    </tableColumn>
    <tableColumn id="17" xr3:uid="{136E293C-4CE5-4246-BE83-B1F96C702066}" name="Notes" dataDxfId="208" totalsRowDxfId="207">
      <calculatedColumnFormula>_xlfn.LET(_xlpm.x,_xlfn.XLOOKUP(tblSketchUpDetails[[#This Row],[Product / Service]],tblLicenses[Product / Service],tblLicenses[Notes],""),IF(_xlpm.x=0,"",_xlpm.x))</calculatedColumnFormula>
    </tableColumn>
    <tableColumn id="18" xr3:uid="{821C5C39-1912-480C-AAA4-D3E3E21130AD}" name="Last Updated" totalsRowFunction="count" dataDxfId="206" totalsRowDxfId="205">
      <calculatedColumnFormula>_xlfn.XLOOKUP(tblSketchUpDetails[[#This Row],[Product / Service]],tblLicenses[Product / Service],tblLicenses[Last Updated],"")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17589B1-7913-4ACB-83D0-97505F6C7948}" name="tblSketchUpUsers" displayName="tblSketchUpUsers" ref="A9:K11" totalsRowShown="0" headerRowDxfId="204" dataDxfId="203">
  <autoFilter ref="A9:K11" xr:uid="{117589B1-7913-4ACB-83D0-97505F6C7948}"/>
  <tableColumns count="11">
    <tableColumn id="1" xr3:uid="{C62209DA-0BE5-4122-89B5-145413EB10E7}" name="Seat No." dataDxfId="202"/>
    <tableColumn id="2" xr3:uid="{5A774591-E209-4A35-AF22-D647B74E2E7F}" name="User Name" dataDxfId="201"/>
    <tableColumn id="3" xr3:uid="{9EF1623A-C140-4B3D-86BC-07C6682029F9}" name="Account / Email" dataDxfId="200"/>
    <tableColumn id="4" xr3:uid="{AF102878-D721-468D-95F9-0EFBC0816F09}" name="Device / Hostname" dataDxfId="199"/>
    <tableColumn id="5" xr3:uid="{3172EF4B-F54D-473D-B82C-6F01885D9AE0}" name="Assigned Date" dataDxfId="198"/>
    <tableColumn id="6" xr3:uid="{442E1359-CF45-4A1B-9656-9248408A4565}" name="Assignment Status" dataDxfId="197">
      <calculatedColumnFormula>IF(tblSketchUpUsers[[#This Row],[User Name]]="","Unassigned","Assigned")</calculatedColumnFormula>
    </tableColumn>
    <tableColumn id="9" xr3:uid="{80AB2EAE-1D9B-414A-88A5-0A3F5E59768B}" name="Expiry Date" dataDxfId="196"/>
    <tableColumn id="11" xr3:uid="{DFEA538B-DB1A-42D5-B463-1A0A42B5F6D1}" name="Days Remaining" dataDxfId="195">
      <calculatedColumnFormula>IF(tblSketchUpUsers[[#This Row],[Expiry Date]]="","",tblSketchUpUsers[[#This Row],[Expiry Date]]-TODAY())</calculatedColumnFormula>
    </tableColumn>
    <tableColumn id="10" xr3:uid="{2AD79947-09EF-4CE1-BF49-929C797F17C4}" name="Expiry Status" dataDxfId="194">
      <calculatedColumnFormula>IF(tblSketchUpUsers[[#This Row],[Expiry Date]]="","No Expiry",IF(tblSketchUpUsers[[#This Row],[Expiry Date]]&lt;TODAY(),"Expired",IF(tblSketchUpUsers[[#This Row],[Expiry Date]]-TODAY()&lt;=30,"Renew Soon","Active")))</calculatedColumnFormula>
    </tableColumn>
    <tableColumn id="7" xr3:uid="{CF8A5C58-A78D-4165-A638-10491DB9110E}" name="Notes" dataDxfId="193"/>
    <tableColumn id="8" xr3:uid="{489132E9-F4CB-4A94-A769-4361E1CECE08}" name="Product / Service" dataDxfId="19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4069FDD-101C-4A51-948F-1558BB67ECB9}" name="tblAutodeskDetails" displayName="tblAutodeskDetails" ref="A4:O6" totalsRowCount="1" headerRowDxfId="191" dataDxfId="190" totalsRowDxfId="189">
  <autoFilter ref="A4:O5" xr:uid="{E4069FDD-101C-4A51-948F-1558BB67ECB9}"/>
  <tableColumns count="15">
    <tableColumn id="1" xr3:uid="{70192794-3E2A-4A9F-AD22-29C821D142F5}" name="Product / Service" totalsRowLabel="Total Costs" dataDxfId="188" totalsRowDxfId="187"/>
    <tableColumn id="2" xr3:uid="{51ED76C7-CD3E-447C-AFEC-B089CC4561B3}" name="License Key / Contract Ref" dataDxfId="186" totalsRowDxfId="185">
      <calculatedColumnFormula>_xlfn.LET(_xlpm.x,_xlfn.XLOOKUP(tblAutodeskDetails[[#This Row],[Product / Service]],tblLicenses[Product / Service],tblLicenses[License Key / Contract Ref],""),IF(_xlpm.x=0,"",_xlpm.x))</calculatedColumnFormula>
    </tableColumn>
    <tableColumn id="3" xr3:uid="{3AA0CFC4-085C-43EA-A237-7983DA14ECE4}" name="Purchase Date" dataDxfId="184" totalsRowDxfId="183"/>
    <tableColumn id="4" xr3:uid="{AE525CEF-9D22-4F41-9357-1FEC219FA52D}" name="Start Date" dataDxfId="182" totalsRowDxfId="181"/>
    <tableColumn id="6" xr3:uid="{6A710E3C-EFFE-41EB-A45A-41F3F7BC0E1A}" name="Total Seats" dataDxfId="180" totalsRowDxfId="179">
      <calculatedColumnFormula>_xlfn.XLOOKUP(tblAutodeskDetails[[#This Row],[Product / Service]],tblLicenses[Product / Service],tblLicenses[Total Seats],0)</calculatedColumnFormula>
    </tableColumn>
    <tableColumn id="7" xr3:uid="{809E9B95-813F-493E-A790-0F37377029BE}" name="Assigned Seats" dataDxfId="178" totalsRowDxfId="177">
      <calculatedColumnFormula>COUNTIF(tblAutodeskUsers[Assignment Status],"Assigned")</calculatedColumnFormula>
    </tableColumn>
    <tableColumn id="8" xr3:uid="{886DEB36-0342-4D5F-A63A-F368B7B7F212}" name="Available Seats" dataDxfId="176" totalsRowDxfId="175">
      <calculatedColumnFormula>MAX(0,tblAutodeskDetails[[#This Row],[Total Seats]]-tblAutodeskDetails[[#This Row],[Assigned Seats]])</calculatedColumnFormula>
    </tableColumn>
    <tableColumn id="9" xr3:uid="{778AB193-5211-4334-A98D-F11E59A5F590}" name="Renewal Type" dataDxfId="174" totalsRowDxfId="173">
      <calculatedColumnFormula>_xlfn.LET(_xlpm.x,_xlfn.XLOOKUP(tblAutodeskDetails[[#This Row],[Product / Service]],tblLicenses[Product / Service],tblLicenses[Renewal Type],""),IF(_xlpm.x=0,"",_xlpm.x))</calculatedColumnFormula>
    </tableColumn>
    <tableColumn id="10" xr3:uid="{14129540-5D21-4F02-9DDE-CFCAF8522F4D}" name="Billing Cycle" dataDxfId="172" totalsRowDxfId="171">
      <calculatedColumnFormula>_xlfn.LET(_xlpm.x,_xlfn.XLOOKUP(tblAutodeskDetails[[#This Row],[Product / Service]],tblLicenses[Product / Service],tblLicenses[Billing Cycle],""),IF(_xlpm.x=0,"",_xlpm.x))</calculatedColumnFormula>
    </tableColumn>
    <tableColumn id="11" xr3:uid="{6D7F6ED2-C8E7-4BAE-8B59-51A1B0522A0A}" name="Unit Cost" totalsRowFunction="sum" dataDxfId="170" totalsRowDxfId="169">
      <calculatedColumnFormula>_xlfn.XLOOKUP(tblAutodeskDetails[[#This Row],[Product / Service]],tblLicenses[Product / Service],tblLicenses[Unit Cost],0)</calculatedColumnFormula>
    </tableColumn>
    <tableColumn id="12" xr3:uid="{536C1A7E-B3F7-4E9E-9ABD-554B8081F2D4}" name="Annual Cost" totalsRowFunction="sum" dataDxfId="168" totalsRowDxfId="167">
      <calculatedColumnFormula>_xlfn.XLOOKUP(tblAutodeskDetails[[#This Row],[Product / Service]],tblLicenses[Product / Service],tblLicenses[Annual Cost],0)</calculatedColumnFormula>
    </tableColumn>
    <tableColumn id="13" xr3:uid="{5B77795F-2A75-4F31-A1DD-DD468DFA1523}" name="Owner" dataDxfId="166" totalsRowDxfId="165">
      <calculatedColumnFormula>_xlfn.LET(_xlpm.x,_xlfn.XLOOKUP(tblAutodeskDetails[[#This Row],[Product / Service]],tblLicenses[Product / Service],tblLicenses[Owner],""),IF(_xlpm.x=0,"",_xlpm.x))</calculatedColumnFormula>
    </tableColumn>
    <tableColumn id="14" xr3:uid="{75D889CB-A75D-4CDF-B19D-A57196D3D1E0}" name="Status" dataDxfId="164" totalsRowDxfId="163">
      <calculatedColumnFormula>_xlfn.XLOOKUP(tblAutodeskDetails[[#This Row],[Product / Service]],tblLicenses[Product / Service],tblLicenses[Status],"")</calculatedColumnFormula>
    </tableColumn>
    <tableColumn id="17" xr3:uid="{8A48013B-9149-4F35-B5F2-9CF6A9CF639A}" name="Notes" dataDxfId="162" totalsRowDxfId="161">
      <calculatedColumnFormula>_xlfn.LET(_xlpm.x,_xlfn.XLOOKUP(tblAutodeskDetails[[#This Row],[Product / Service]],tblLicenses[Product / Service],tblLicenses[Notes],""),IF(_xlpm.x=0,"",_xlpm.x))</calculatedColumnFormula>
    </tableColumn>
    <tableColumn id="18" xr3:uid="{B28B5BCE-AD7F-4B40-8070-D797752C32E9}" name="Last Updated" totalsRowFunction="count" dataDxfId="160" totalsRowDxfId="159">
      <calculatedColumnFormula>_xlfn.XLOOKUP(tblAutodeskDetails[[#This Row],[Product / Service]],tblLicenses[Product / Service],tblLicenses[Last Updated],"")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9ED8DEE-EEBA-491A-A06D-2C9C6B4237FD}" name="tblAutodeskUsers" displayName="tblAutodeskUsers" ref="A9:K14" totalsRowShown="0" headerRowDxfId="158" dataDxfId="157">
  <autoFilter ref="A9:K14" xr:uid="{49ED8DEE-EEBA-491A-A06D-2C9C6B4237FD}"/>
  <tableColumns count="11">
    <tableColumn id="1" xr3:uid="{99B0C18D-6D65-4E71-975B-0DF156BAF9E4}" name="Seat No." dataDxfId="156"/>
    <tableColumn id="2" xr3:uid="{86E5F590-04C3-4553-A5BA-72DF07ED134B}" name="User Name" dataDxfId="155"/>
    <tableColumn id="3" xr3:uid="{A4B71492-C9DD-49A4-BD5D-6363FE39522E}" name="Account / Email" dataDxfId="154"/>
    <tableColumn id="4" xr3:uid="{73D9A5D6-65B9-455D-BC66-4F33CFEC7619}" name="Device / Hostname" dataDxfId="153"/>
    <tableColumn id="5" xr3:uid="{3FF04E89-9DBC-4900-AB86-488FF1D3AC4D}" name="Assigned Date" dataDxfId="152"/>
    <tableColumn id="6" xr3:uid="{DC066A46-AC7B-4285-AE5B-BDE676D05292}" name="Assignment Status" dataDxfId="151">
      <calculatedColumnFormula>IF(tblAutodeskUsers[[#This Row],[User Name]]="","Unassigned","Assigned")</calculatedColumnFormula>
    </tableColumn>
    <tableColumn id="9" xr3:uid="{2C344D71-4E82-4EB4-8C0C-C42EB61C31CC}" name="Expiry Date" dataDxfId="150"/>
    <tableColumn id="11" xr3:uid="{42072B92-9526-44C7-9FBF-254C20E93C82}" name="Days Remaining" dataDxfId="149">
      <calculatedColumnFormula>IF(tblAutodeskUsers[[#This Row],[Expiry Date]]="","",tblAutodeskUsers[[#This Row],[Expiry Date]]-TODAY())</calculatedColumnFormula>
    </tableColumn>
    <tableColumn id="10" xr3:uid="{6CC7D9C9-61E3-4E68-AB72-7B94807A1690}" name="Expiry Status" dataDxfId="148">
      <calculatedColumnFormula>IF(tblAutodeskUsers[[#This Row],[Expiry Date]]="","No Expiry",IF(tblAutodeskUsers[[#This Row],[Expiry Date]]&lt;TODAY(),"Expired",IF(tblAutodeskUsers[[#This Row],[Expiry Date]]-TODAY()&lt;=30,"Renew Soon","Active")))</calculatedColumnFormula>
    </tableColumn>
    <tableColumn id="7" xr3:uid="{45727767-D8DC-4F45-A227-A452D59291D3}" name="Notes" dataDxfId="147"/>
    <tableColumn id="8" xr3:uid="{5E4F2FD5-7D6A-4153-8F72-A146BD51954F}" name="Product / Service" dataDxfId="14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C5178A4-7D9C-4C98-9D88-16F759421106}" name="tblPrimaveraDetails" displayName="tblPrimaveraDetails" ref="A4:O6" totalsRowCount="1" headerRowDxfId="145" dataDxfId="144" totalsRowDxfId="143">
  <autoFilter ref="A4:O5" xr:uid="{DC5178A4-7D9C-4C98-9D88-16F759421106}"/>
  <tableColumns count="15">
    <tableColumn id="1" xr3:uid="{D3106B6D-5FCF-47CE-8F21-2D758229C7AB}" name="Product / Service" totalsRowLabel="Total Costs" dataDxfId="142" totalsRowDxfId="141"/>
    <tableColumn id="2" xr3:uid="{9DD1E27F-A65D-4169-BB7A-BBAA3BCFA4C3}" name="License Key / Contract Ref" dataDxfId="140" totalsRowDxfId="139">
      <calculatedColumnFormula>_xlfn.LET(_xlpm.x,_xlfn.XLOOKUP(tblPrimaveraDetails[[#This Row],[Product / Service]],tblLicenses[Product / Service],tblLicenses[License Key / Contract Ref],""),IF(_xlpm.x=0,"",_xlpm.x))</calculatedColumnFormula>
    </tableColumn>
    <tableColumn id="3" xr3:uid="{29636EB9-9E0F-45EE-884C-5D15978D474F}" name="Purchase Date" dataDxfId="138" totalsRowDxfId="137"/>
    <tableColumn id="4" xr3:uid="{B5397D1A-34CB-41EA-A4A9-29F997E64032}" name="Start Date" dataDxfId="136" totalsRowDxfId="135"/>
    <tableColumn id="6" xr3:uid="{5892EC2A-CA56-4D78-A2B6-551C5C8D3D1E}" name="Total Seats" dataDxfId="134" totalsRowDxfId="133">
      <calculatedColumnFormula>_xlfn.XLOOKUP(tblPrimaveraDetails[[#This Row],[Product / Service]],tblLicenses[Product / Service],tblLicenses[Total Seats],0)</calculatedColumnFormula>
    </tableColumn>
    <tableColumn id="7" xr3:uid="{F305A4C0-0214-4CF1-9AC4-A8CAA3CB2C7B}" name="Assigned Seats" dataDxfId="132" totalsRowDxfId="131">
      <calculatedColumnFormula>COUNTIF(tblPrimaveraUsers[Assignment Status],"Assigned")</calculatedColumnFormula>
    </tableColumn>
    <tableColumn id="8" xr3:uid="{BAAB3F3C-51C4-46B5-81AF-F73D4B1E1AF5}" name="Available Seats" dataDxfId="130" totalsRowDxfId="129">
      <calculatedColumnFormula>MAX(0,tblPrimaveraDetails[[#This Row],[Total Seats]]-tblPrimaveraDetails[[#This Row],[Assigned Seats]])</calculatedColumnFormula>
    </tableColumn>
    <tableColumn id="9" xr3:uid="{8A04289E-DF96-4132-84A6-31B8E294D17B}" name="Renewal Type" dataDxfId="128" totalsRowDxfId="127">
      <calculatedColumnFormula>_xlfn.LET(_xlpm.x,_xlfn.XLOOKUP(tblPrimaveraDetails[[#This Row],[Product / Service]],tblLicenses[Product / Service],tblLicenses[Renewal Type],""),IF(_xlpm.x=0,"",_xlpm.x))</calculatedColumnFormula>
    </tableColumn>
    <tableColumn id="10" xr3:uid="{7161CBD9-845D-4185-8E36-A88423FA021A}" name="Billing Cycle" dataDxfId="126" totalsRowDxfId="125">
      <calculatedColumnFormula>_xlfn.LET(_xlpm.x,_xlfn.XLOOKUP(tblPrimaveraDetails[[#This Row],[Product / Service]],tblLicenses[Product / Service],tblLicenses[Billing Cycle],""),IF(_xlpm.x=0,"",_xlpm.x))</calculatedColumnFormula>
    </tableColumn>
    <tableColumn id="11" xr3:uid="{772DCFF9-B2B8-43E0-A15B-3EA0F424C50F}" name="Unit Cost" totalsRowFunction="sum" dataDxfId="124" totalsRowDxfId="123">
      <calculatedColumnFormula>_xlfn.XLOOKUP(tblPrimaveraDetails[[#This Row],[Product / Service]],tblLicenses[Product / Service],tblLicenses[Unit Cost],0)</calculatedColumnFormula>
    </tableColumn>
    <tableColumn id="12" xr3:uid="{73DCF32D-A7C7-4BB9-AF9E-01F0663AD912}" name="Annual Cost" totalsRowFunction="sum" dataDxfId="122" totalsRowDxfId="121">
      <calculatedColumnFormula>_xlfn.XLOOKUP(tblPrimaveraDetails[[#This Row],[Product / Service]],tblLicenses[Product / Service],tblLicenses[Annual Cost],0)</calculatedColumnFormula>
    </tableColumn>
    <tableColumn id="13" xr3:uid="{2B459F6A-CB30-42F0-B973-77F6A563CB5C}" name="Owner" dataDxfId="120" totalsRowDxfId="119">
      <calculatedColumnFormula>_xlfn.LET(_xlpm.x,_xlfn.XLOOKUP(tblPrimaveraDetails[[#This Row],[Product / Service]],tblLicenses[Product / Service],tblLicenses[Owner],""),IF(_xlpm.x=0,"",_xlpm.x))</calculatedColumnFormula>
    </tableColumn>
    <tableColumn id="14" xr3:uid="{B17069C3-EFB7-41D1-85AD-9513E456FA55}" name="Status" dataDxfId="118" totalsRowDxfId="117">
      <calculatedColumnFormula>_xlfn.XLOOKUP(tblPrimaveraDetails[[#This Row],[Product / Service]],tblLicenses[Product / Service],tblLicenses[Status],"")</calculatedColumnFormula>
    </tableColumn>
    <tableColumn id="17" xr3:uid="{92EE1BA4-52CA-472E-A514-E756893AFDC3}" name="Notes" dataDxfId="116" totalsRowDxfId="115">
      <calculatedColumnFormula>_xlfn.LET(_xlpm.x,_xlfn.XLOOKUP(tblPrimaveraDetails[[#This Row],[Product / Service]],tblLicenses[Product / Service],tblLicenses[Notes],""),IF(_xlpm.x=0,"",_xlpm.x))</calculatedColumnFormula>
    </tableColumn>
    <tableColumn id="18" xr3:uid="{F415657B-D30D-4E4C-A155-3472965AC03E}" name="Last Updated" totalsRowFunction="count" dataDxfId="114" totalsRowDxfId="113">
      <calculatedColumnFormula>_xlfn.XLOOKUP(tblPrimaveraDetails[[#This Row],[Product / Service]],tblLicenses[Product / Service],tblLicenses[Last Updated],"")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96E9CA01-2D78-4AE0-8BD3-CF9DD98FF86D}" name="tblPrimaveraUsers" displayName="tblPrimaveraUsers" ref="A9:K10" totalsRowShown="0" headerRowDxfId="112" dataDxfId="111">
  <autoFilter ref="A9:K10" xr:uid="{96E9CA01-2D78-4AE0-8BD3-CF9DD98FF86D}"/>
  <tableColumns count="11">
    <tableColumn id="1" xr3:uid="{9E6A1B67-B1EF-4D8A-A196-24AF02731B09}" name="Seat No." dataDxfId="110"/>
    <tableColumn id="2" xr3:uid="{705C9815-ACCD-44B7-A497-12E4400AD1A7}" name="User Name" dataDxfId="109"/>
    <tableColumn id="3" xr3:uid="{7D4E6D0E-15A0-41F0-8AB3-7C32A13DA0C0}" name="Account / Email" dataDxfId="108"/>
    <tableColumn id="4" xr3:uid="{C871587B-3A6D-4E5F-8758-07794A9B3213}" name="Device / Hostname" dataDxfId="107"/>
    <tableColumn id="5" xr3:uid="{53A008A6-C843-4897-8AF3-30303F8E74DA}" name="Assigned Date" dataDxfId="106"/>
    <tableColumn id="6" xr3:uid="{E87D003C-6CAF-49BA-AFFD-6C9975F02E47}" name="Assignment Status" dataDxfId="105">
      <calculatedColumnFormula>IF(tblPrimaveraUsers[[#This Row],[User Name]]="","Unassigned","Assigned")</calculatedColumnFormula>
    </tableColumn>
    <tableColumn id="9" xr3:uid="{F780BA23-DC24-4A08-A28E-2328534FB07E}" name="Expiry Date" dataDxfId="104"/>
    <tableColumn id="11" xr3:uid="{D3AC5E9B-8180-42B8-A3E2-1430E1546D6B}" name="Days Remaining" dataDxfId="103">
      <calculatedColumnFormula>IF(tblPrimaveraUsers[[#This Row],[Expiry Date]]="","",tblPrimaveraUsers[[#This Row],[Expiry Date]]-TODAY())</calculatedColumnFormula>
    </tableColumn>
    <tableColumn id="10" xr3:uid="{1676114F-F550-43EE-B1D8-3E42927B483D}" name="Expiry Status" dataDxfId="102">
      <calculatedColumnFormula>IF(tblPrimaveraUsers[[#This Row],[Expiry Date]]="","No Expiry",IF(tblPrimaveraUsers[[#This Row],[Expiry Date]]&lt;TODAY(),"Expired",IF(tblPrimaveraUsers[[#This Row],[Expiry Date]]-TODAY()&lt;=30,"Renew Soon","Active")))</calculatedColumnFormula>
    </tableColumn>
    <tableColumn id="7" xr3:uid="{16A859D0-7F26-4390-9835-1B9F45DA7C1E}" name="Notes" dataDxfId="101"/>
    <tableColumn id="8" xr3:uid="{F1730C85-514C-4AFD-8B4E-40EE7D1C1346}" name="Product / Service" dataDxfId="100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93EFE1-C492-41D3-BF65-402751395C03}" name="tblLicenseRawData" displayName="tblLicenseRawData" ref="A1:AB116" totalsRowShown="0" headerRowDxfId="4" dataDxfId="3">
  <autoFilter ref="A1:AB116" xr:uid="{EC93EFE1-C492-41D3-BF65-402751395C03}"/>
  <tableColumns count="28">
    <tableColumn id="1" xr3:uid="{E06D6313-B3DC-44F1-AC71-F4B408D7C9AE}" name="Record ID" dataDxfId="29"/>
    <tableColumn id="2" xr3:uid="{25A456BF-C223-4CA1-98E3-C508CA76A13A}" name="Product / Service" dataDxfId="28"/>
    <tableColumn id="3" xr3:uid="{A28E4817-CB10-4E68-9093-884E97D28336}" name="Vendor" dataDxfId="27"/>
    <tableColumn id="4" xr3:uid="{75960061-67AB-479C-AC4F-FA6F4CF88D72}" name="Category" dataDxfId="26"/>
    <tableColumn id="5" xr3:uid="{1E48C558-8B8D-41E2-9197-99DCFD47ED81}" name="License Type" dataDxfId="25"/>
    <tableColumn id="6" xr3:uid="{D8F18091-C392-45C3-A6A3-4DAEEDAAE53C}" name="License Key / Contract Ref" dataDxfId="2"/>
    <tableColumn id="7" xr3:uid="{42033062-A6EB-4CF6-BE67-744102B45097}" name="Seat No." dataDxfId="24"/>
    <tableColumn id="8" xr3:uid="{DC90B4B6-AC8A-4CAA-9C9B-5D6D3B8AC4BF}" name="User Name" dataDxfId="23"/>
    <tableColumn id="9" xr3:uid="{4D738F7E-FDB5-45A6-ADD4-0DAF6D15EF3E}" name="Account / Email" dataDxfId="22"/>
    <tableColumn id="10" xr3:uid="{2937F034-F185-43B6-83A1-9E85564F3D69}" name="Device / Hostname" dataDxfId="21"/>
    <tableColumn id="11" xr3:uid="{A0A579E6-ACBB-440D-8FB9-C6A3D84197E1}" name="Assigned Date" dataDxfId="20"/>
    <tableColumn id="12" xr3:uid="{2E028DAF-C81A-45AD-800C-7AEEEC65B9B0}" name="Expiry Date" dataDxfId="19"/>
    <tableColumn id="13" xr3:uid="{87C00BB6-F4FC-44B9-B7D6-6E7A309E84CF}" name="Days Remaining" dataDxfId="18"/>
    <tableColumn id="14" xr3:uid="{B248CBDF-06FC-42D7-A013-B11C13A80419}" name="Expiry Status" dataDxfId="17"/>
    <tableColumn id="15" xr3:uid="{EA3EF34F-63C2-4731-B957-243DD4A9111A}" name="Assignment Status" dataDxfId="16"/>
    <tableColumn id="16" xr3:uid="{40796752-0ED3-4F99-8B70-647BDBFB409E}" name="Total Seats" dataDxfId="15"/>
    <tableColumn id="17" xr3:uid="{E1B2A2A9-9B8D-4668-8E44-2489D6999E0C}" name="Assigned Seats" dataDxfId="14"/>
    <tableColumn id="18" xr3:uid="{98C5A107-A540-4083-98A1-B04C2BF3C764}" name="Available Seats" dataDxfId="13"/>
    <tableColumn id="19" xr3:uid="{1C20847C-AB3C-4FB5-8F2B-E7E1D5CC01A7}" name="Renewal Type" dataDxfId="12"/>
    <tableColumn id="20" xr3:uid="{808FC85A-3EA4-4786-82BA-1712A847DC1B}" name="Billing Cycle" dataDxfId="11"/>
    <tableColumn id="21" xr3:uid="{035048D5-6E8B-4E1A-8331-996DCEC79939}" name="Unit Cost" dataDxfId="10"/>
    <tableColumn id="22" xr3:uid="{71B9FEA9-35CF-46DD-9061-7F46E50DC57A}" name="Annual Cost" dataDxfId="9"/>
    <tableColumn id="23" xr3:uid="{FA7730AC-481E-4672-9615-11153DE91221}" name="Owner" dataDxfId="8"/>
    <tableColumn id="24" xr3:uid="{A1EBA8FC-7D49-40B5-B0C2-428A0A9BB703}" name="License Status" dataDxfId="7"/>
    <tableColumn id="25" xr3:uid="{810461B5-BE43-42D9-A0B6-68915BEE5F16}" name="License Notes" dataDxfId="1"/>
    <tableColumn id="26" xr3:uid="{BFB059A9-CBCE-4F6C-9138-C429345C7E90}" name="Assignment Notes" dataDxfId="0"/>
    <tableColumn id="27" xr3:uid="{53225CD7-7F00-43F8-8470-F3BB761400B8}" name="Last Updated" dataDxfId="6"/>
    <tableColumn id="28" xr3:uid="{6FCC33AA-0508-46E8-9974-B68FE59C4377}" name="Source Sheet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@royalphuketmarina.com" TargetMode="External"/><Relationship Id="rId2" Type="http://schemas.openxmlformats.org/officeDocument/2006/relationships/hyperlink" Target="mailto:gl@royalphuketmarina.com" TargetMode="External"/><Relationship Id="rId1" Type="http://schemas.openxmlformats.org/officeDocument/2006/relationships/hyperlink" Target="mailto:admin@royalphuketmarina.com" TargetMode="Externa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hyperlink" Target="mailto:zarni@royalphuketmarina.com" TargetMode="External"/><Relationship Id="rId1" Type="http://schemas.openxmlformats.org/officeDocument/2006/relationships/hyperlink" Target="mailto:apisitp@royalphuketmarina.com" TargetMode="External"/><Relationship Id="rId4" Type="http://schemas.openxmlformats.org/officeDocument/2006/relationships/table" Target="../tables/table9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E09DB-EB0B-4FBA-826D-C887089C86D2}">
  <dimension ref="A1:P34"/>
  <sheetViews>
    <sheetView showGridLines="0" workbookViewId="0">
      <selection activeCell="M4" sqref="M4:P5"/>
    </sheetView>
  </sheetViews>
  <sheetFormatPr defaultRowHeight="16.8"/>
  <cols>
    <col min="1" max="1" width="28.5" bestFit="1" customWidth="1"/>
    <col min="2" max="2" width="19" bestFit="1" customWidth="1"/>
    <col min="3" max="3" width="10.296875" bestFit="1" customWidth="1"/>
    <col min="4" max="4" width="11.59765625" bestFit="1" customWidth="1"/>
    <col min="5" max="8" width="13.69921875" customWidth="1"/>
    <col min="9" max="9" width="18.09765625" bestFit="1" customWidth="1"/>
    <col min="10" max="10" width="5.796875" bestFit="1" customWidth="1"/>
    <col min="11" max="11" width="17.3984375" bestFit="1" customWidth="1"/>
    <col min="12" max="12" width="5.796875" bestFit="1" customWidth="1"/>
    <col min="13" max="16" width="13.69921875" customWidth="1"/>
  </cols>
  <sheetData>
    <row r="1" spans="1:16" s="3" customFormat="1" ht="25.8">
      <c r="A1" s="57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</row>
    <row r="2" spans="1:16" s="3" customFormat="1" ht="14.4"/>
    <row r="3" spans="1:16" s="3" customFormat="1" ht="14.4">
      <c r="A3" s="58" t="s">
        <v>263</v>
      </c>
      <c r="B3" s="58"/>
      <c r="C3" s="58"/>
      <c r="D3" s="58" t="s">
        <v>7</v>
      </c>
      <c r="E3" s="58"/>
      <c r="F3" s="58"/>
      <c r="G3" s="58" t="s">
        <v>8</v>
      </c>
      <c r="H3" s="58"/>
      <c r="I3" s="58"/>
      <c r="J3" s="58" t="s">
        <v>9</v>
      </c>
      <c r="K3" s="58"/>
      <c r="L3" s="58"/>
      <c r="M3" s="58" t="s">
        <v>17</v>
      </c>
      <c r="N3" s="58"/>
      <c r="O3" s="58"/>
      <c r="P3" s="58"/>
    </row>
    <row r="4" spans="1:16" s="3" customFormat="1" ht="14.4">
      <c r="A4" s="59">
        <f>ROWS(tblLicenses[Product / Service])</f>
        <v>11</v>
      </c>
      <c r="B4" s="59"/>
      <c r="C4" s="59"/>
      <c r="D4" s="59">
        <f>SUM(tblLicenses[Total Seats])</f>
        <v>115</v>
      </c>
      <c r="E4" s="59"/>
      <c r="F4" s="59"/>
      <c r="G4" s="59">
        <f>SUM(tblLicenses[Assigned Seats])</f>
        <v>114</v>
      </c>
      <c r="H4" s="59"/>
      <c r="I4" s="59"/>
      <c r="J4" s="59">
        <f>SUM(tblLicenses[Available Seats])</f>
        <v>1</v>
      </c>
      <c r="K4" s="59"/>
      <c r="L4" s="59"/>
      <c r="M4" s="61">
        <f>SUM(tblLicenses[Annual Cost])</f>
        <v>851518</v>
      </c>
      <c r="N4" s="61"/>
      <c r="O4" s="61"/>
      <c r="P4" s="61"/>
    </row>
    <row r="5" spans="1:16" s="3" customFormat="1" ht="14.4">
      <c r="A5" s="59"/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61"/>
      <c r="N5" s="61"/>
      <c r="O5" s="61"/>
      <c r="P5" s="61"/>
    </row>
    <row r="6" spans="1:16" s="3" customFormat="1" ht="14.4"/>
    <row r="7" spans="1:16" s="3" customFormat="1" ht="14.4">
      <c r="A7" s="60" t="s">
        <v>264</v>
      </c>
      <c r="B7" s="60"/>
      <c r="C7" s="60"/>
      <c r="D7" s="60"/>
      <c r="E7" s="60"/>
      <c r="F7" s="60"/>
      <c r="G7" s="60"/>
      <c r="H7" s="60"/>
      <c r="I7" s="60" t="s">
        <v>265</v>
      </c>
      <c r="J7" s="60"/>
      <c r="K7" s="60"/>
      <c r="L7" s="60"/>
      <c r="M7" s="60"/>
      <c r="N7" s="60"/>
      <c r="O7" s="60"/>
      <c r="P7" s="60"/>
    </row>
    <row r="8" spans="1:16" s="3" customFormat="1" ht="14.4"/>
    <row r="9" spans="1:16" s="3" customFormat="1" ht="14.4"/>
    <row r="10" spans="1:16" s="3" customFormat="1" ht="14.4"/>
    <row r="11" spans="1:16" s="3" customFormat="1" ht="14.4"/>
    <row r="12" spans="1:16" s="3" customFormat="1" ht="14.4"/>
    <row r="13" spans="1:16" s="3" customFormat="1" ht="14.4"/>
    <row r="14" spans="1:16" s="3" customFormat="1" ht="14.4"/>
    <row r="15" spans="1:16" s="3" customFormat="1" ht="14.4"/>
    <row r="16" spans="1:16" s="3" customFormat="1" ht="14.4"/>
    <row r="17" spans="1:16" s="3" customFormat="1" ht="14.4"/>
    <row r="18" spans="1:16" s="3" customFormat="1" ht="14.4"/>
    <row r="19" spans="1:16" s="3" customFormat="1" ht="14.4"/>
    <row r="20" spans="1:16" s="3" customFormat="1" ht="14.4"/>
    <row r="21" spans="1:16" s="3" customFormat="1" ht="14.4"/>
    <row r="22" spans="1:16" s="3" customFormat="1" ht="14.4"/>
    <row r="23" spans="1:16" s="3" customFormat="1" ht="14.4"/>
    <row r="24" spans="1:16" s="3" customFormat="1" ht="14.4">
      <c r="A24" s="60" t="s">
        <v>266</v>
      </c>
      <c r="B24" s="60"/>
      <c r="C24" s="60"/>
      <c r="D24" s="60"/>
      <c r="E24" s="60"/>
      <c r="F24" s="60"/>
      <c r="G24" s="60"/>
      <c r="H24" s="60"/>
      <c r="I24" s="60" t="s">
        <v>268</v>
      </c>
      <c r="J24" s="60"/>
      <c r="K24" s="60"/>
      <c r="L24" s="60"/>
      <c r="M24" s="60"/>
      <c r="N24" s="60"/>
      <c r="O24" s="60"/>
      <c r="P24" s="60"/>
    </row>
    <row r="25" spans="1:16" s="3" customFormat="1" ht="14.4">
      <c r="A25" s="42" t="s">
        <v>2</v>
      </c>
      <c r="B25" s="42" t="s">
        <v>267</v>
      </c>
      <c r="C25" s="42" t="s">
        <v>12</v>
      </c>
      <c r="D25" s="42" t="s">
        <v>282</v>
      </c>
      <c r="E25" s="42" t="s">
        <v>98</v>
      </c>
      <c r="I25" s="42" t="s">
        <v>269</v>
      </c>
      <c r="J25" s="42" t="s">
        <v>270</v>
      </c>
      <c r="K25" s="42" t="s">
        <v>269</v>
      </c>
      <c r="L25" s="42" t="s">
        <v>270</v>
      </c>
    </row>
    <row r="26" spans="1:16" s="3" customFormat="1" ht="14.4">
      <c r="A26" s="3" t="str" cm="1">
        <f t="array" aca="1" ref="A26:E33" ca="1">_xlfn.LET(_xlpm.p,_xlfn.VSTACK(tblMicrosoftAssignments[Product / Service],tblAcrobatUsers[Product / Service],tblSketchUpUsers[Product / Service],tblAutodeskUsers[Product / Service],tblPrimaveraUsers[Product / Service]),_xlpm.u,_xlfn.VSTACK(tblMicrosoftAssignments[User Name],tblAcrobatUsers[User Name],tblSketchUpUsers[User Name],tblAutodeskUsers[User Name],tblPrimaveraUsers[User Name]),_xlpm.d,_xlfn.VSTACK(tblMicrosoftAssignments[Expiry Date],tblAcrobatUsers[Expiry Date],tblSketchUpUsers[Expiry Date],tblAutodeskUsers[Expiry Date],tblPrimaveraUsers[Expiry Date]),_xlpm.r,_xlfn.VSTACK(tblMicrosoftAssignments[Days Remaining],tblAcrobatUsers[Days Remaining],tblSketchUpUsers[Days Remaining],tblAutodeskUsers[Days Remaining],tblPrimaveraUsers[Days Remaining]),_xlpm.s,_xlfn.VSTACK(tblMicrosoftAssignments[Expiry Status],tblAcrobatUsers[Expiry Status],tblSketchUpUsers[Expiry Status],tblAutodeskUsers[Expiry Status],tblPrimaveraUsers[Expiry Status]),_xlpm.x,_xlfn._xlws.FILTER(_xlfn.HSTACK(_xlpm.p,CLEAN(TRIM(_xlpm.u)),_xlpm.d,_xlpm.r,_xlpm.s),ISNUMBER(_xlpm.d)),_xlfn.TAKE(_xlfn._xlws.SORT(_xlpm.x,3,1),8))</f>
        <v>Acrobat Pro for teams Subscription</v>
      </c>
      <c r="B26" s="3" t="str">
        <f ca="1"/>
        <v>Nonglak Intarat</v>
      </c>
      <c r="C26" s="44">
        <f ca="1"/>
        <v>46354</v>
      </c>
      <c r="D26" s="49">
        <f ca="1"/>
        <v>75</v>
      </c>
      <c r="E26" s="3" t="str">
        <f ca="1"/>
        <v>Active</v>
      </c>
      <c r="I26" s="43" t="s">
        <v>271</v>
      </c>
      <c r="J26" s="45">
        <f>COUNTIF(tblLicenses[Status],"Active")</f>
        <v>11</v>
      </c>
      <c r="K26" s="43" t="s">
        <v>283</v>
      </c>
      <c r="L26" s="45">
        <f ca="1">COUNTIFS(tblMicrosoftAssignments[Days Remaining],"&gt;=0",tblMicrosoftAssignments[Days Remaining],"&lt;30")+COUNTIFS(tblAcrobatUsers[Days Remaining],"&gt;=0",tblAcrobatUsers[Days Remaining],"&lt;30")+COUNTIFS(tblSketchUpUsers[Days Remaining],"&gt;=0",tblSketchUpUsers[Days Remaining],"&lt;30")+COUNTIFS(tblAutodeskUsers[Days Remaining],"&gt;=0",tblAutodeskUsers[Days Remaining],"&lt;30")+COUNTIFS(tblPrimaveraUsers[Days Remaining],"&gt;=0",tblPrimaveraUsers[Days Remaining],"&lt;30")</f>
        <v>0</v>
      </c>
    </row>
    <row r="27" spans="1:16" s="3" customFormat="1" ht="14.4">
      <c r="A27" s="3" t="str">
        <f ca="1"/>
        <v>Acrobat Pro for teams Subscription</v>
      </c>
      <c r="B27" s="3" t="str">
        <f ca="1"/>
        <v>RPM PDFAPPS</v>
      </c>
      <c r="C27" s="44">
        <f ca="1"/>
        <v>46354</v>
      </c>
      <c r="D27" s="49">
        <f ca="1"/>
        <v>75</v>
      </c>
      <c r="E27" s="3" t="str">
        <f ca="1"/>
        <v>Active</v>
      </c>
      <c r="I27" s="43" t="s">
        <v>272</v>
      </c>
      <c r="J27" s="45">
        <f>COUNTIF(tblLicenses[Status],"Renew Soon")</f>
        <v>0</v>
      </c>
      <c r="K27" s="43" t="s">
        <v>273</v>
      </c>
      <c r="L27" s="45">
        <f ca="1">COUNTIF(tblMicrosoftAssignments[Expiry Status],"Expired")+COUNTIF(tblAcrobatUsers[Expiry Status],"Expired")+COUNTIF(tblSketchUpUsers[Expiry Status],"Expired")+COUNTIF(tblAutodeskUsers[Expiry Status],"Expired")+COUNTIF(tblPrimaveraUsers[Expiry Status],"Expired")</f>
        <v>0</v>
      </c>
    </row>
    <row r="28" spans="1:16" s="3" customFormat="1" ht="14.4">
      <c r="A28" s="3" t="str">
        <f ca="1"/>
        <v>Trimble SketchUp</v>
      </c>
      <c r="B28" s="3" t="str">
        <f ca="1"/>
        <v>Zarni Shein</v>
      </c>
      <c r="C28" s="44">
        <f ca="1"/>
        <v>46377</v>
      </c>
      <c r="D28" s="49">
        <f ca="1"/>
        <v>98</v>
      </c>
      <c r="E28" s="3" t="str">
        <f ca="1"/>
        <v>Active</v>
      </c>
      <c r="I28" s="43" t="s">
        <v>274</v>
      </c>
      <c r="J28" s="45">
        <f>COUNTIF(tblLicenses[Status],"Expired")</f>
        <v>0</v>
      </c>
      <c r="K28" s="43" t="s">
        <v>275</v>
      </c>
      <c r="L28" s="45">
        <f>COUNTIF(tblMicrosoftAssignments[Assignment Status],"Assigned")+COUNTIF(tblAcrobatUsers[Assignment Status],"Assigned")+COUNTIF(tblSketchUpUsers[Assignment Status],"Assigned")+COUNTIF(tblAutodeskUsers[Assignment Status],"Assigned")+COUNTIF(tblPrimaveraUsers[Assignment Status],"Assigned")</f>
        <v>113</v>
      </c>
    </row>
    <row r="29" spans="1:16" s="3" customFormat="1" ht="14.4">
      <c r="A29" s="3" t="str">
        <f ca="1"/>
        <v>Autodesk CAD LT</v>
      </c>
      <c r="B29" s="3" t="str">
        <f ca="1"/>
        <v>Arm Thanasarn Sriphet</v>
      </c>
      <c r="C29" s="44">
        <f ca="1"/>
        <v>46444</v>
      </c>
      <c r="D29" s="49">
        <f ca="1"/>
        <v>165</v>
      </c>
      <c r="E29" s="3" t="str">
        <f ca="1"/>
        <v>Active</v>
      </c>
      <c r="I29" s="46" t="s">
        <v>276</v>
      </c>
      <c r="J29" s="47">
        <f>(COUNTIF(tblMicrosoftAssignments[Assignment Status],"Assigned")+COUNTIF(tblAcrobatUsers[Assignment Status],"Assigned")+COUNTIF(tblSketchUpUsers[Assignment Status],"Assigned")+COUNTIF(tblAutodeskUsers[Assignment Status],"Assigned")+COUNTIF(tblPrimaveraUsers[Assignment Status],"Assigned"))-SUM(tblLicenses[Assigned Seats])</f>
        <v>-1</v>
      </c>
      <c r="K29" s="46" t="s">
        <v>277</v>
      </c>
      <c r="L29" s="47">
        <f>COUNTBLANK(tblMicrosoftAssignments[Expiry Date])+COUNTBLANK(tblAcrobatUsers[Expiry Date])+COUNTBLANK(tblSketchUpUsers[Expiry Date])+COUNTBLANK(tblAutodeskUsers[Expiry Date])+COUNTBLANK(tblPrimaveraUsers[Expiry Date])</f>
        <v>1</v>
      </c>
    </row>
    <row r="30" spans="1:16" s="3" customFormat="1" ht="14.4">
      <c r="A30" s="3" t="str">
        <f ca="1"/>
        <v>Autodesk CAD LT</v>
      </c>
      <c r="B30" s="3" t="str">
        <f ca="1"/>
        <v>Zarni Shein</v>
      </c>
      <c r="C30" s="44">
        <f ca="1"/>
        <v>46444</v>
      </c>
      <c r="D30" s="49">
        <f ca="1"/>
        <v>165</v>
      </c>
      <c r="E30" s="3" t="str">
        <f ca="1"/>
        <v>Active</v>
      </c>
    </row>
    <row r="31" spans="1:16" s="3" customFormat="1" ht="14.4">
      <c r="A31" s="3" t="str">
        <f ca="1"/>
        <v>Trimble SketchUp</v>
      </c>
      <c r="B31" s="3" t="str">
        <f ca="1"/>
        <v>Apisit Prakaiphetkul</v>
      </c>
      <c r="C31" s="44">
        <f ca="1"/>
        <v>46504</v>
      </c>
      <c r="D31" s="49">
        <f ca="1"/>
        <v>225</v>
      </c>
      <c r="E31" s="3" t="str">
        <f ca="1"/>
        <v>Active</v>
      </c>
    </row>
    <row r="32" spans="1:16" s="3" customFormat="1" ht="14.4">
      <c r="A32" s="3" t="str">
        <f ca="1"/>
        <v>Autodesk CAD LT</v>
      </c>
      <c r="B32" s="3" t="str">
        <f ca="1"/>
        <v>Apisit Prakaiphetkul</v>
      </c>
      <c r="C32" s="44">
        <f ca="1"/>
        <v>46504</v>
      </c>
      <c r="D32" s="49">
        <f ca="1"/>
        <v>225</v>
      </c>
      <c r="E32" s="3" t="str">
        <f ca="1"/>
        <v>Active</v>
      </c>
    </row>
    <row r="33" spans="1:5" s="3" customFormat="1" ht="14.4">
      <c r="A33" s="3" t="str">
        <f ca="1"/>
        <v>Autodesk CAD LT</v>
      </c>
      <c r="B33" s="3" t="str">
        <f ca="1"/>
        <v>Kanit Koomuda</v>
      </c>
      <c r="C33" s="44">
        <f ca="1"/>
        <v>46504</v>
      </c>
      <c r="D33" s="49">
        <f ca="1"/>
        <v>225</v>
      </c>
      <c r="E33" s="3" t="str">
        <f ca="1"/>
        <v>Active</v>
      </c>
    </row>
    <row r="34" spans="1:5" s="3" customFormat="1" ht="14.4"/>
  </sheetData>
  <mergeCells count="15">
    <mergeCell ref="A24:H24"/>
    <mergeCell ref="I24:P24"/>
    <mergeCell ref="J3:L3"/>
    <mergeCell ref="J4:L5"/>
    <mergeCell ref="M3:P3"/>
    <mergeCell ref="M4:P5"/>
    <mergeCell ref="A7:H7"/>
    <mergeCell ref="I7:P7"/>
    <mergeCell ref="A1:P1"/>
    <mergeCell ref="A3:C3"/>
    <mergeCell ref="A4:C5"/>
    <mergeCell ref="D3:F3"/>
    <mergeCell ref="D4:F5"/>
    <mergeCell ref="G3:I3"/>
    <mergeCell ref="G4:I5"/>
  </mergeCells>
  <conditionalFormatting sqref="D26:D33">
    <cfRule type="expression" dxfId="99" priority="1">
      <formula>AND(ISNUMBER($D26),$D26&lt;30)</formula>
    </cfRule>
  </conditionalFormatting>
  <conditionalFormatting sqref="L26">
    <cfRule type="expression" dxfId="98" priority="2">
      <formula>$L26&gt;0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1895E-D1DB-4383-AB5E-2D9BF7758CF2}">
  <dimension ref="A1:P1001"/>
  <sheetViews>
    <sheetView showGridLines="0" zoomScale="90" zoomScaleNormal="90" workbookViewId="0">
      <pane ySplit="1" topLeftCell="A2" activePane="bottomLeft" state="frozen"/>
      <selection pane="bottomLeft" activeCell="G4" sqref="G4:G14"/>
    </sheetView>
  </sheetViews>
  <sheetFormatPr defaultColWidth="16.59765625" defaultRowHeight="16.8"/>
  <cols>
    <col min="1" max="1" width="41" style="10" bestFit="1" customWidth="1"/>
    <col min="2" max="2" width="19.3984375" style="10" customWidth="1"/>
    <col min="3" max="3" width="10.296875" style="10" bestFit="1" customWidth="1"/>
    <col min="4" max="4" width="13.5" style="10" bestFit="1" customWidth="1"/>
    <col min="5" max="5" width="25.8984375" style="10" bestFit="1" customWidth="1"/>
    <col min="6" max="6" width="11.8984375" style="10" bestFit="1" customWidth="1"/>
    <col min="7" max="7" width="15.3984375" style="10" bestFit="1" customWidth="1"/>
    <col min="8" max="8" width="15.59765625" style="10" bestFit="1" customWidth="1"/>
    <col min="9" max="9" width="14.19921875" style="10" bestFit="1" customWidth="1"/>
    <col min="10" max="10" width="13" style="10" bestFit="1" customWidth="1"/>
    <col min="11" max="11" width="10.5" style="10" bestFit="1" customWidth="1"/>
    <col min="12" max="12" width="12.69921875" style="10" bestFit="1" customWidth="1"/>
    <col min="13" max="13" width="8.296875" style="10" bestFit="1" customWidth="1"/>
    <col min="14" max="14" width="8.09765625" style="10" bestFit="1" customWidth="1"/>
    <col min="15" max="15" width="38.8984375" style="17" bestFit="1" customWidth="1"/>
    <col min="16" max="16" width="13.8984375" style="10" bestFit="1" customWidth="1"/>
    <col min="17" max="16384" width="16.59765625" style="10"/>
  </cols>
  <sheetData>
    <row r="1" spans="1:16" ht="21">
      <c r="A1" s="62" t="s">
        <v>1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</row>
    <row r="3" spans="1:16">
      <c r="A3" s="11" t="s">
        <v>2</v>
      </c>
      <c r="B3" s="11" t="s">
        <v>3</v>
      </c>
      <c r="C3" s="11" t="s">
        <v>4</v>
      </c>
      <c r="D3" s="11" t="s">
        <v>5</v>
      </c>
      <c r="E3" s="12" t="s">
        <v>6</v>
      </c>
      <c r="F3" s="11" t="s">
        <v>7</v>
      </c>
      <c r="G3" s="11" t="s">
        <v>8</v>
      </c>
      <c r="H3" s="11" t="s">
        <v>9</v>
      </c>
      <c r="I3" s="11" t="s">
        <v>13</v>
      </c>
      <c r="J3" s="11" t="s">
        <v>14</v>
      </c>
      <c r="K3" s="11" t="s">
        <v>15</v>
      </c>
      <c r="L3" s="11" t="s">
        <v>17</v>
      </c>
      <c r="M3" s="11" t="s">
        <v>18</v>
      </c>
      <c r="N3" s="11" t="s">
        <v>20</v>
      </c>
      <c r="O3" s="12" t="s">
        <v>21</v>
      </c>
      <c r="P3" s="11" t="s">
        <v>22</v>
      </c>
    </row>
    <row r="4" spans="1:16">
      <c r="A4" s="4" t="s">
        <v>58</v>
      </c>
      <c r="B4" s="6" t="s">
        <v>279</v>
      </c>
      <c r="C4" s="5" t="s">
        <v>23</v>
      </c>
      <c r="D4" s="5" t="s">
        <v>24</v>
      </c>
      <c r="E4" s="16"/>
      <c r="F4" s="13">
        <v>2</v>
      </c>
      <c r="G4" s="14">
        <f>_xlfn.XLOOKUP(tblLicenses[[#This Row],[Product / Service]],tblAcrobatDetails[Product / Service],tblAcrobatDetails[Assigned Seats],0)</f>
        <v>2</v>
      </c>
      <c r="H4" s="14">
        <f>MAX(0,tblLicenses[[#This Row],[Total Seats]]-tblLicenses[[#This Row],[Assigned Seats]])</f>
        <v>0</v>
      </c>
      <c r="I4" s="5" t="s">
        <v>34</v>
      </c>
      <c r="J4" s="5" t="s">
        <v>26</v>
      </c>
      <c r="K4" s="15">
        <v>9400</v>
      </c>
      <c r="L4" s="15">
        <f>IF(tblLicenses[[#This Row],[Billing Cycle]]="Monthly",tblLicenses[[#This Row],[Unit Cost]]*12*tblLicenses[[#This Row],[Total Seats]],IF(tblLicenses[[#This Row],[Billing Cycle]]="Quarterly",tblLicenses[[#This Row],[Unit Cost]]*4*tblLicenses[[#This Row],[Total Seats]],tblLicenses[[#This Row],[Unit Cost]]*tblLicenses[[#This Row],[Total Seats]]))</f>
        <v>18800</v>
      </c>
      <c r="M4" s="5" t="s">
        <v>28</v>
      </c>
      <c r="N4" s="5" t="s">
        <v>57</v>
      </c>
      <c r="O4" s="16"/>
      <c r="P4" s="26">
        <f t="shared" ref="P4:P14" ca="1" si="0">TODAY()</f>
        <v>46279</v>
      </c>
    </row>
    <row r="5" spans="1:16" ht="86.4">
      <c r="A5" s="4" t="s">
        <v>76</v>
      </c>
      <c r="B5" s="4" t="s">
        <v>280</v>
      </c>
      <c r="C5" s="4" t="s">
        <v>51</v>
      </c>
      <c r="D5" s="5" t="s">
        <v>24</v>
      </c>
      <c r="E5" s="6" t="s">
        <v>121</v>
      </c>
      <c r="F5" s="7">
        <v>5</v>
      </c>
      <c r="G5" s="8">
        <f>_xlfn.XLOOKUP(tblLicenses[[#This Row],[Product / Service]],tblAutodeskDetails[Product / Service],tblAutodeskDetails[Assigned Seats],0)</f>
        <v>5</v>
      </c>
      <c r="H5" s="8">
        <f>MAX(0,tblLicenses[[#This Row],[Total Seats]]-tblLicenses[[#This Row],[Assigned Seats]])</f>
        <v>0</v>
      </c>
      <c r="I5" s="5" t="s">
        <v>34</v>
      </c>
      <c r="J5" s="5" t="s">
        <v>26</v>
      </c>
      <c r="K5" s="9">
        <v>16400</v>
      </c>
      <c r="L5" s="9">
        <f>IF(tblLicenses[[#This Row],[Billing Cycle]]="Monthly",tblLicenses[[#This Row],[Unit Cost]]*12*tblLicenses[[#This Row],[Total Seats]],IF(tblLicenses[[#This Row],[Billing Cycle]]="Quarterly",tblLicenses[[#This Row],[Unit Cost]]*4*tblLicenses[[#This Row],[Total Seats]],tblLicenses[[#This Row],[Unit Cost]]*tblLicenses[[#This Row],[Total Seats]]))</f>
        <v>82000</v>
      </c>
      <c r="M5" s="5" t="s">
        <v>28</v>
      </c>
      <c r="N5" s="5" t="s">
        <v>57</v>
      </c>
      <c r="O5" s="6"/>
      <c r="P5" s="27">
        <f t="shared" ca="1" si="0"/>
        <v>46279</v>
      </c>
    </row>
    <row r="6" spans="1:16" ht="28.8">
      <c r="A6" s="18" t="s">
        <v>80</v>
      </c>
      <c r="B6" s="6" t="s">
        <v>278</v>
      </c>
      <c r="C6" s="4" t="s">
        <v>23</v>
      </c>
      <c r="D6" s="4" t="s">
        <v>24</v>
      </c>
      <c r="E6" s="6"/>
      <c r="F6" s="7">
        <v>1</v>
      </c>
      <c r="G6" s="8">
        <f>_xlfn.XLOOKUP(tblLicenses[[#This Row],[Product / Service]],tblMicrosoftLicenses[Product / Service],tblMicrosoftLicenses[Assigned Seats],0)</f>
        <v>1</v>
      </c>
      <c r="H6" s="8">
        <f>MAX(0,tblLicenses[[#This Row],[Total Seats]]-tblLicenses[[#This Row],[Assigned Seats]])</f>
        <v>0</v>
      </c>
      <c r="I6" s="5" t="s">
        <v>34</v>
      </c>
      <c r="J6" s="5" t="s">
        <v>26</v>
      </c>
      <c r="K6" s="9">
        <v>2920</v>
      </c>
      <c r="L6" s="9">
        <f>IF(tblLicenses[[#This Row],[Billing Cycle]]="Monthly",tblLicenses[[#This Row],[Unit Cost]]*12*tblLicenses[[#This Row],[Total Seats]],IF(tblLicenses[[#This Row],[Billing Cycle]]="Quarterly",tblLicenses[[#This Row],[Unit Cost]]*4*tblLicenses[[#This Row],[Total Seats]],tblLicenses[[#This Row],[Unit Cost]]*tblLicenses[[#This Row],[Total Seats]]))</f>
        <v>2920</v>
      </c>
      <c r="M6" s="5" t="s">
        <v>28</v>
      </c>
      <c r="N6" s="5" t="s">
        <v>57</v>
      </c>
      <c r="O6" s="6"/>
      <c r="P6" s="27">
        <f t="shared" ca="1" si="0"/>
        <v>46279</v>
      </c>
    </row>
    <row r="7" spans="1:16" ht="28.8">
      <c r="A7" s="18" t="s">
        <v>79</v>
      </c>
      <c r="B7" s="6" t="s">
        <v>278</v>
      </c>
      <c r="C7" s="4" t="s">
        <v>23</v>
      </c>
      <c r="D7" s="4" t="s">
        <v>24</v>
      </c>
      <c r="E7" s="6"/>
      <c r="F7" s="7">
        <v>1</v>
      </c>
      <c r="G7" s="8">
        <f>_xlfn.XLOOKUP(tblLicenses[[#This Row],[Product / Service]],tblMicrosoftLicenses[Product / Service],tblMicrosoftLicenses[Assigned Seats],0)</f>
        <v>1</v>
      </c>
      <c r="H7" s="8">
        <f>MAX(0,tblLicenses[[#This Row],[Total Seats]]-tblLicenses[[#This Row],[Assigned Seats]])</f>
        <v>0</v>
      </c>
      <c r="I7" s="5" t="s">
        <v>34</v>
      </c>
      <c r="J7" s="5" t="s">
        <v>26</v>
      </c>
      <c r="K7" s="9">
        <v>3650</v>
      </c>
      <c r="L7" s="9">
        <f>IF(tblLicenses[[#This Row],[Billing Cycle]]="Monthly",tblLicenses[[#This Row],[Unit Cost]]*12*tblLicenses[[#This Row],[Total Seats]],IF(tblLicenses[[#This Row],[Billing Cycle]]="Quarterly",tblLicenses[[#This Row],[Unit Cost]]*4*tblLicenses[[#This Row],[Total Seats]],tblLicenses[[#This Row],[Unit Cost]]*tblLicenses[[#This Row],[Total Seats]]))</f>
        <v>3650</v>
      </c>
      <c r="M7" s="5" t="s">
        <v>28</v>
      </c>
      <c r="N7" s="5" t="s">
        <v>57</v>
      </c>
      <c r="O7" s="6"/>
      <c r="P7" s="27">
        <f t="shared" ca="1" si="0"/>
        <v>46279</v>
      </c>
    </row>
    <row r="8" spans="1:16" ht="28.8">
      <c r="A8" s="4" t="s">
        <v>77</v>
      </c>
      <c r="B8" s="6" t="s">
        <v>278</v>
      </c>
      <c r="C8" s="5" t="s">
        <v>23</v>
      </c>
      <c r="D8" s="5" t="s">
        <v>24</v>
      </c>
      <c r="E8" s="5"/>
      <c r="F8" s="13">
        <v>73</v>
      </c>
      <c r="G8" s="14">
        <f>_xlfn.XLOOKUP(tblLicenses[[#This Row],[Product / Service]],tblMicrosoftLicenses[Product / Service],tblMicrosoftLicenses[Assigned Seats],0)</f>
        <v>73</v>
      </c>
      <c r="H8" s="14">
        <f>MAX(0,tblLicenses[[#This Row],[Total Seats]]-tblLicenses[[#This Row],[Assigned Seats]])</f>
        <v>0</v>
      </c>
      <c r="I8" s="5" t="s">
        <v>34</v>
      </c>
      <c r="J8" s="5" t="s">
        <v>26</v>
      </c>
      <c r="K8" s="15">
        <v>3120</v>
      </c>
      <c r="L8" s="15">
        <f>IF(tblLicenses[[#This Row],[Billing Cycle]]="Monthly",tblLicenses[[#This Row],[Unit Cost]]*12*tblLicenses[[#This Row],[Total Seats]],IF(tblLicenses[[#This Row],[Billing Cycle]]="Quarterly",tblLicenses[[#This Row],[Unit Cost]]*4*tblLicenses[[#This Row],[Total Seats]],tblLicenses[[#This Row],[Unit Cost]]*tblLicenses[[#This Row],[Total Seats]]))</f>
        <v>227760</v>
      </c>
      <c r="M8" s="5" t="s">
        <v>28</v>
      </c>
      <c r="N8" s="5" t="s">
        <v>57</v>
      </c>
      <c r="O8" s="16"/>
      <c r="P8" s="26">
        <f t="shared" ca="1" si="0"/>
        <v>46279</v>
      </c>
    </row>
    <row r="9" spans="1:16" ht="28.8">
      <c r="A9" s="4" t="s">
        <v>78</v>
      </c>
      <c r="B9" s="6" t="s">
        <v>278</v>
      </c>
      <c r="C9" s="4" t="s">
        <v>23</v>
      </c>
      <c r="D9" s="4" t="s">
        <v>24</v>
      </c>
      <c r="E9" s="6"/>
      <c r="F9" s="7">
        <v>24</v>
      </c>
      <c r="G9" s="8">
        <f>_xlfn.XLOOKUP(tblLicenses[[#This Row],[Product / Service]],tblMicrosoftLicenses[Product / Service],tblMicrosoftLicenses[Assigned Seats],0)</f>
        <v>23</v>
      </c>
      <c r="H9" s="8">
        <f>MAX(0,tblLicenses[[#This Row],[Total Seats]]-tblLicenses[[#This Row],[Assigned Seats]])</f>
        <v>1</v>
      </c>
      <c r="I9" s="5" t="s">
        <v>34</v>
      </c>
      <c r="J9" s="5" t="s">
        <v>26</v>
      </c>
      <c r="K9" s="9">
        <v>10560</v>
      </c>
      <c r="L9" s="9">
        <f>IF(tblLicenses[[#This Row],[Billing Cycle]]="Monthly",tblLicenses[[#This Row],[Unit Cost]]*12*tblLicenses[[#This Row],[Total Seats]],IF(tblLicenses[[#This Row],[Billing Cycle]]="Quarterly",tblLicenses[[#This Row],[Unit Cost]]*4*tblLicenses[[#This Row],[Total Seats]],tblLicenses[[#This Row],[Unit Cost]]*tblLicenses[[#This Row],[Total Seats]]))</f>
        <v>253440</v>
      </c>
      <c r="M9" s="5" t="s">
        <v>28</v>
      </c>
      <c r="N9" s="5" t="s">
        <v>57</v>
      </c>
      <c r="O9" s="6"/>
      <c r="P9" s="27">
        <f t="shared" ca="1" si="0"/>
        <v>46279</v>
      </c>
    </row>
    <row r="10" spans="1:16" ht="28.8">
      <c r="A10" s="4" t="s">
        <v>103</v>
      </c>
      <c r="B10" s="4" t="s">
        <v>104</v>
      </c>
      <c r="C10" s="4" t="s">
        <v>23</v>
      </c>
      <c r="D10" s="4" t="s">
        <v>24</v>
      </c>
      <c r="E10" s="6" t="s">
        <v>105</v>
      </c>
      <c r="F10" s="7">
        <v>1</v>
      </c>
      <c r="G10" s="8">
        <v>1</v>
      </c>
      <c r="H10" s="8">
        <f>MAX(0,tblLicenses[[#This Row],[Total Seats]]-tblLicenses[[#This Row],[Assigned Seats]])</f>
        <v>0</v>
      </c>
      <c r="I10" s="4" t="s">
        <v>34</v>
      </c>
      <c r="J10" s="4" t="s">
        <v>26</v>
      </c>
      <c r="K10" s="9">
        <v>2200</v>
      </c>
      <c r="L10" s="9">
        <f>IF(tblLicenses[[#This Row],[Billing Cycle]]="Monthly",tblLicenses[[#This Row],[Unit Cost]]*12*tblLicenses[[#This Row],[Total Seats]],IF(tblLicenses[[#This Row],[Billing Cycle]]="Quarterly",tblLicenses[[#This Row],[Unit Cost]]*4*tblLicenses[[#This Row],[Total Seats]],tblLicenses[[#This Row],[Unit Cost]]*tblLicenses[[#This Row],[Total Seats]]))</f>
        <v>2200</v>
      </c>
      <c r="M10" s="4" t="s">
        <v>93</v>
      </c>
      <c r="N10" s="4" t="s">
        <v>57</v>
      </c>
      <c r="O10" s="6" t="s">
        <v>106</v>
      </c>
      <c r="P10" s="27">
        <f t="shared" ca="1" si="0"/>
        <v>46279</v>
      </c>
    </row>
    <row r="11" spans="1:16" ht="28.8">
      <c r="A11" s="4" t="s">
        <v>73</v>
      </c>
      <c r="B11" s="6" t="s">
        <v>278</v>
      </c>
      <c r="C11" s="4" t="s">
        <v>23</v>
      </c>
      <c r="D11" s="4" t="s">
        <v>24</v>
      </c>
      <c r="E11" s="6"/>
      <c r="F11" s="7">
        <v>4</v>
      </c>
      <c r="G11" s="8">
        <f>_xlfn.XLOOKUP(tblLicenses[[#This Row],[Product / Service]],tblMicrosoftLicenses[Product / Service],tblMicrosoftLicenses[Assigned Seats],0)</f>
        <v>4</v>
      </c>
      <c r="H11" s="8">
        <f>MAX(0,tblLicenses[[#This Row],[Total Seats]]-tblLicenses[[#This Row],[Assigned Seats]])</f>
        <v>0</v>
      </c>
      <c r="I11" s="5" t="s">
        <v>34</v>
      </c>
      <c r="J11" s="5" t="s">
        <v>26</v>
      </c>
      <c r="K11" s="9">
        <v>4737</v>
      </c>
      <c r="L11" s="9">
        <f>IF(tblLicenses[[#This Row],[Billing Cycle]]="Monthly",tblLicenses[[#This Row],[Unit Cost]]*12*tblLicenses[[#This Row],[Total Seats]],IF(tblLicenses[[#This Row],[Billing Cycle]]="Quarterly",tblLicenses[[#This Row],[Unit Cost]]*4*tblLicenses[[#This Row],[Total Seats]],tblLicenses[[#This Row],[Unit Cost]]*tblLicenses[[#This Row],[Total Seats]]))</f>
        <v>18948</v>
      </c>
      <c r="M11" s="5" t="s">
        <v>28</v>
      </c>
      <c r="N11" s="5" t="s">
        <v>57</v>
      </c>
      <c r="O11" s="6"/>
      <c r="P11" s="27">
        <f t="shared" ca="1" si="0"/>
        <v>46279</v>
      </c>
    </row>
    <row r="12" spans="1:16" ht="115.2">
      <c r="A12" s="4" t="s">
        <v>72</v>
      </c>
      <c r="B12" s="4" t="s">
        <v>74</v>
      </c>
      <c r="C12" s="4" t="s">
        <v>23</v>
      </c>
      <c r="D12" s="5" t="s">
        <v>24</v>
      </c>
      <c r="E12" s="6"/>
      <c r="F12" s="7">
        <v>1</v>
      </c>
      <c r="G12" s="8">
        <f>_xlfn.XLOOKUP(tblLicenses[[#This Row],[Product / Service]],tblPrimaveraDetails[Product / Service],tblPrimaveraDetails[Assigned Seats],0)</f>
        <v>1</v>
      </c>
      <c r="H12" s="8">
        <f>MAX(0,tblLicenses[[#This Row],[Total Seats]]-tblLicenses[[#This Row],[Assigned Seats]])</f>
        <v>0</v>
      </c>
      <c r="I12" s="5" t="s">
        <v>34</v>
      </c>
      <c r="J12" s="5" t="s">
        <v>26</v>
      </c>
      <c r="K12" s="9">
        <v>176800</v>
      </c>
      <c r="L12" s="9">
        <f>IF(tblLicenses[[#This Row],[Billing Cycle]]="Monthly",tblLicenses[[#This Row],[Unit Cost]]*12*tblLicenses[[#This Row],[Total Seats]],IF(tblLicenses[[#This Row],[Billing Cycle]]="Quarterly",tblLicenses[[#This Row],[Unit Cost]]*4*tblLicenses[[#This Row],[Total Seats]],tblLicenses[[#This Row],[Unit Cost]]*tblLicenses[[#This Row],[Total Seats]]))</f>
        <v>176800</v>
      </c>
      <c r="M12" s="5" t="s">
        <v>28</v>
      </c>
      <c r="N12" s="5" t="s">
        <v>57</v>
      </c>
      <c r="O12" s="6" t="s">
        <v>75</v>
      </c>
      <c r="P12" s="27">
        <f t="shared" ca="1" si="0"/>
        <v>46279</v>
      </c>
    </row>
    <row r="13" spans="1:16" ht="28.8">
      <c r="A13" s="4" t="s">
        <v>91</v>
      </c>
      <c r="B13" s="6" t="s">
        <v>278</v>
      </c>
      <c r="C13" s="4" t="s">
        <v>23</v>
      </c>
      <c r="D13" s="4" t="s">
        <v>33</v>
      </c>
      <c r="E13" s="6"/>
      <c r="F13" s="7">
        <v>1</v>
      </c>
      <c r="G13" s="8">
        <f>_xlfn.XLOOKUP(tblLicenses[[#This Row],[Product / Service]],tblMicrosoftLicenses[Product / Service],tblMicrosoftLicenses[Assigned Seats],0)</f>
        <v>1</v>
      </c>
      <c r="H13" s="8">
        <f>MAX(0,tblLicenses[[#This Row],[Total Seats]]-tblLicenses[[#This Row],[Assigned Seats]])</f>
        <v>0</v>
      </c>
      <c r="I13" s="5" t="s">
        <v>39</v>
      </c>
      <c r="J13" s="5" t="s">
        <v>44</v>
      </c>
      <c r="K13" s="9">
        <v>37000</v>
      </c>
      <c r="L13" s="9">
        <f>IF(tblLicenses[[#This Row],[Billing Cycle]]="Monthly",tblLicenses[[#This Row],[Unit Cost]]*12*tblLicenses[[#This Row],[Total Seats]],IF(tblLicenses[[#This Row],[Billing Cycle]]="Quarterly",tblLicenses[[#This Row],[Unit Cost]]*4*tblLicenses[[#This Row],[Total Seats]],tblLicenses[[#This Row],[Unit Cost]]*tblLicenses[[#This Row],[Total Seats]]))</f>
        <v>37000</v>
      </c>
      <c r="M13" s="4" t="s">
        <v>93</v>
      </c>
      <c r="N13" s="5" t="s">
        <v>57</v>
      </c>
      <c r="O13" s="6"/>
      <c r="P13" s="27">
        <f t="shared" ca="1" si="0"/>
        <v>46279</v>
      </c>
    </row>
    <row r="14" spans="1:16" ht="28.8">
      <c r="A14" s="4" t="s">
        <v>68</v>
      </c>
      <c r="B14" s="4" t="s">
        <v>281</v>
      </c>
      <c r="C14" s="4" t="s">
        <v>51</v>
      </c>
      <c r="D14" s="5" t="s">
        <v>24</v>
      </c>
      <c r="E14" s="6"/>
      <c r="F14" s="7">
        <v>2</v>
      </c>
      <c r="G14" s="8">
        <f>_xlfn.XLOOKUP(tblLicenses[[#This Row],[Product / Service]],tblSketchUpDetails[Product / Service],tblSketchUpDetails[Assigned Seats],0)</f>
        <v>2</v>
      </c>
      <c r="H14" s="8">
        <f>MAX(0,tblLicenses[[#This Row],[Total Seats]]-tblLicenses[[#This Row],[Assigned Seats]])</f>
        <v>0</v>
      </c>
      <c r="I14" s="5" t="s">
        <v>34</v>
      </c>
      <c r="J14" s="5" t="s">
        <v>26</v>
      </c>
      <c r="K14" s="9">
        <v>14000</v>
      </c>
      <c r="L14" s="9">
        <f>IF(tblLicenses[[#This Row],[Billing Cycle]]="Monthly",tblLicenses[[#This Row],[Unit Cost]]*12*tblLicenses[[#This Row],[Total Seats]],IF(tblLicenses[[#This Row],[Billing Cycle]]="Quarterly",tblLicenses[[#This Row],[Unit Cost]]*4*tblLicenses[[#This Row],[Total Seats]],tblLicenses[[#This Row],[Unit Cost]]*tblLicenses[[#This Row],[Total Seats]]))</f>
        <v>28000</v>
      </c>
      <c r="M14" s="5" t="s">
        <v>28</v>
      </c>
      <c r="N14" s="5" t="s">
        <v>57</v>
      </c>
      <c r="O14" s="6" t="s">
        <v>122</v>
      </c>
      <c r="P14" s="27">
        <f t="shared" ca="1" si="0"/>
        <v>46279</v>
      </c>
    </row>
    <row r="15" spans="1:16">
      <c r="A15" s="11"/>
      <c r="B15" s="11"/>
      <c r="C15" s="11"/>
      <c r="D15" s="11"/>
      <c r="E15" s="12"/>
      <c r="F15" s="11"/>
      <c r="G15" s="11"/>
      <c r="H15" s="11"/>
      <c r="I15" s="11"/>
      <c r="J15" s="11"/>
      <c r="K15" s="11"/>
      <c r="L15" s="11"/>
      <c r="M15" s="11"/>
      <c r="N15" s="12"/>
      <c r="O15" s="12"/>
    </row>
    <row r="16" spans="1:16">
      <c r="A16" s="11"/>
      <c r="B16" s="11"/>
      <c r="C16" s="11"/>
      <c r="D16" s="11"/>
      <c r="E16" s="12"/>
      <c r="F16" s="11"/>
      <c r="G16" s="11"/>
      <c r="H16" s="11"/>
      <c r="I16" s="11"/>
      <c r="J16" s="11"/>
      <c r="K16" s="11"/>
      <c r="L16" s="11"/>
      <c r="M16" s="11"/>
      <c r="N16" s="12"/>
      <c r="O16" s="12"/>
    </row>
    <row r="17" spans="1:15">
      <c r="A17" s="11"/>
      <c r="B17" s="11"/>
      <c r="C17" s="11"/>
      <c r="D17" s="11"/>
      <c r="E17" s="12"/>
      <c r="F17" s="11"/>
      <c r="G17" s="11"/>
      <c r="H17" s="11"/>
      <c r="I17" s="11"/>
      <c r="J17" s="11"/>
      <c r="K17" s="11"/>
      <c r="L17" s="11"/>
      <c r="M17" s="11"/>
      <c r="N17" s="12"/>
      <c r="O17" s="12"/>
    </row>
    <row r="18" spans="1:15">
      <c r="A18" s="11"/>
      <c r="B18" s="11"/>
      <c r="C18" s="11"/>
      <c r="D18" s="11"/>
      <c r="E18" s="12"/>
      <c r="F18" s="11"/>
      <c r="G18" s="11"/>
      <c r="H18" s="11"/>
      <c r="I18" s="11"/>
      <c r="J18" s="11"/>
      <c r="K18" s="11"/>
      <c r="L18" s="11"/>
      <c r="M18" s="11"/>
      <c r="N18" s="12"/>
      <c r="O18" s="12"/>
    </row>
    <row r="19" spans="1:15">
      <c r="A19" s="11"/>
      <c r="B19" s="11"/>
      <c r="C19" s="11"/>
      <c r="D19" s="11"/>
      <c r="E19" s="12"/>
      <c r="F19" s="11"/>
      <c r="G19" s="11"/>
      <c r="H19" s="11"/>
      <c r="I19" s="11"/>
      <c r="J19" s="11"/>
      <c r="K19" s="11"/>
      <c r="L19" s="11"/>
      <c r="M19" s="11"/>
      <c r="N19" s="12"/>
      <c r="O19" s="12"/>
    </row>
    <row r="20" spans="1:15">
      <c r="A20" s="11"/>
      <c r="B20" s="11"/>
      <c r="C20" s="11"/>
      <c r="D20" s="11"/>
      <c r="E20" s="12"/>
      <c r="F20" s="11"/>
      <c r="G20" s="11"/>
      <c r="H20" s="11"/>
      <c r="I20" s="11"/>
      <c r="J20" s="11"/>
      <c r="K20" s="11"/>
      <c r="L20" s="11"/>
      <c r="M20" s="11"/>
      <c r="N20" s="12"/>
      <c r="O20" s="12"/>
    </row>
    <row r="21" spans="1:15">
      <c r="A21" s="11"/>
      <c r="B21" s="11"/>
      <c r="C21" s="11"/>
      <c r="D21" s="11"/>
      <c r="E21" s="12"/>
      <c r="F21" s="11"/>
      <c r="G21" s="11"/>
      <c r="H21" s="11"/>
      <c r="I21" s="11"/>
      <c r="J21" s="11"/>
      <c r="K21" s="11"/>
      <c r="L21" s="11"/>
      <c r="M21" s="11"/>
      <c r="N21" s="12"/>
      <c r="O21" s="12"/>
    </row>
    <row r="22" spans="1:15">
      <c r="A22" s="11"/>
      <c r="B22" s="11"/>
      <c r="C22" s="11"/>
      <c r="D22" s="11"/>
      <c r="E22" s="12"/>
      <c r="F22" s="11"/>
      <c r="G22" s="11"/>
      <c r="H22" s="11"/>
      <c r="I22" s="11"/>
      <c r="J22" s="11"/>
      <c r="K22" s="11"/>
      <c r="L22" s="11"/>
      <c r="M22" s="11"/>
      <c r="N22" s="12"/>
      <c r="O22" s="12"/>
    </row>
    <row r="23" spans="1:15">
      <c r="A23" s="11"/>
      <c r="B23" s="11"/>
      <c r="C23" s="11"/>
      <c r="D23" s="11"/>
      <c r="E23" s="12"/>
      <c r="F23" s="11"/>
      <c r="G23" s="11"/>
      <c r="H23" s="11"/>
      <c r="I23" s="11"/>
      <c r="J23" s="11"/>
      <c r="K23" s="11"/>
      <c r="L23" s="11"/>
      <c r="M23" s="11"/>
      <c r="N23" s="12"/>
      <c r="O23" s="12"/>
    </row>
    <row r="24" spans="1:15">
      <c r="A24" s="11"/>
      <c r="B24" s="11"/>
      <c r="C24" s="11"/>
      <c r="D24" s="11"/>
      <c r="E24" s="12"/>
      <c r="F24" s="11"/>
      <c r="G24" s="11"/>
      <c r="H24" s="11"/>
      <c r="I24" s="11"/>
      <c r="J24" s="11"/>
      <c r="K24" s="11"/>
      <c r="L24" s="11"/>
      <c r="M24" s="11"/>
      <c r="N24" s="12"/>
      <c r="O24" s="12"/>
    </row>
    <row r="25" spans="1:15">
      <c r="A25" s="11"/>
      <c r="B25" s="11"/>
      <c r="C25" s="11"/>
      <c r="D25" s="11"/>
      <c r="E25" s="12"/>
      <c r="F25" s="11"/>
      <c r="G25" s="11"/>
      <c r="H25" s="11"/>
      <c r="I25" s="11"/>
      <c r="J25" s="11"/>
      <c r="K25" s="11"/>
      <c r="L25" s="11"/>
      <c r="M25" s="11"/>
      <c r="N25" s="12"/>
      <c r="O25" s="12"/>
    </row>
    <row r="26" spans="1:15">
      <c r="A26" s="11"/>
      <c r="B26" s="11"/>
      <c r="C26" s="11"/>
      <c r="D26" s="11"/>
      <c r="E26" s="12"/>
      <c r="F26" s="11"/>
      <c r="G26" s="11"/>
      <c r="H26" s="11"/>
      <c r="I26" s="11"/>
      <c r="J26" s="11"/>
      <c r="K26" s="11"/>
      <c r="L26" s="11"/>
      <c r="M26" s="11"/>
      <c r="N26" s="12"/>
      <c r="O26" s="12"/>
    </row>
    <row r="27" spans="1:15">
      <c r="A27" s="11"/>
      <c r="B27" s="11"/>
      <c r="C27" s="11"/>
      <c r="D27" s="11"/>
      <c r="E27" s="12"/>
      <c r="F27" s="11"/>
      <c r="G27" s="11"/>
      <c r="H27" s="11"/>
      <c r="I27" s="11"/>
      <c r="J27" s="11"/>
      <c r="K27" s="11"/>
      <c r="L27" s="11"/>
      <c r="M27" s="11"/>
      <c r="N27" s="12"/>
      <c r="O27" s="12"/>
    </row>
    <row r="28" spans="1:15">
      <c r="A28" s="11"/>
      <c r="B28" s="11"/>
      <c r="C28" s="11"/>
      <c r="D28" s="11"/>
      <c r="E28" s="12"/>
      <c r="F28" s="11"/>
      <c r="G28" s="11"/>
      <c r="H28" s="11"/>
      <c r="I28" s="11"/>
      <c r="J28" s="11"/>
      <c r="K28" s="11"/>
      <c r="L28" s="11"/>
      <c r="M28" s="11"/>
      <c r="N28" s="12"/>
      <c r="O28" s="12"/>
    </row>
    <row r="29" spans="1:15">
      <c r="A29" s="11"/>
      <c r="B29" s="11"/>
      <c r="C29" s="11"/>
      <c r="D29" s="11"/>
      <c r="E29" s="12"/>
      <c r="F29" s="11"/>
      <c r="G29" s="11"/>
      <c r="H29" s="11"/>
      <c r="I29" s="11"/>
      <c r="J29" s="11"/>
      <c r="K29" s="11"/>
      <c r="L29" s="11"/>
      <c r="M29" s="11"/>
      <c r="N29" s="12"/>
      <c r="O29" s="12"/>
    </row>
    <row r="30" spans="1:15">
      <c r="A30" s="11"/>
      <c r="B30" s="11"/>
      <c r="C30" s="11"/>
      <c r="D30" s="11"/>
      <c r="E30" s="12"/>
      <c r="F30" s="11"/>
      <c r="G30" s="11"/>
      <c r="H30" s="11"/>
      <c r="I30" s="11"/>
      <c r="J30" s="11"/>
      <c r="K30" s="11"/>
      <c r="L30" s="11"/>
      <c r="M30" s="11"/>
      <c r="N30" s="12"/>
      <c r="O30" s="12"/>
    </row>
    <row r="31" spans="1:15">
      <c r="A31" s="11"/>
      <c r="B31" s="11"/>
      <c r="C31" s="11"/>
      <c r="D31" s="11"/>
      <c r="E31" s="12"/>
      <c r="F31" s="11"/>
      <c r="G31" s="11"/>
      <c r="H31" s="11"/>
      <c r="I31" s="11"/>
      <c r="J31" s="11"/>
      <c r="K31" s="11"/>
      <c r="L31" s="11"/>
      <c r="M31" s="11"/>
      <c r="N31" s="12"/>
      <c r="O31" s="12"/>
    </row>
    <row r="32" spans="1:15">
      <c r="A32" s="11"/>
      <c r="B32" s="11"/>
      <c r="C32" s="11"/>
      <c r="D32" s="11"/>
      <c r="E32" s="12"/>
      <c r="F32" s="11"/>
      <c r="G32" s="11"/>
      <c r="H32" s="11"/>
      <c r="I32" s="11"/>
      <c r="J32" s="11"/>
      <c r="K32" s="11"/>
      <c r="L32" s="11"/>
      <c r="M32" s="11"/>
      <c r="N32" s="12"/>
      <c r="O32" s="12"/>
    </row>
    <row r="33" spans="1:15">
      <c r="A33" s="11"/>
      <c r="B33" s="11"/>
      <c r="C33" s="11"/>
      <c r="D33" s="11"/>
      <c r="E33" s="12"/>
      <c r="F33" s="11"/>
      <c r="G33" s="11"/>
      <c r="H33" s="11"/>
      <c r="I33" s="11"/>
      <c r="J33" s="11"/>
      <c r="K33" s="11"/>
      <c r="L33" s="11"/>
      <c r="M33" s="11"/>
      <c r="N33" s="12"/>
      <c r="O33" s="12"/>
    </row>
    <row r="34" spans="1:15">
      <c r="A34" s="11"/>
      <c r="B34" s="11"/>
      <c r="C34" s="11"/>
      <c r="D34" s="11"/>
      <c r="E34" s="12"/>
      <c r="F34" s="11"/>
      <c r="G34" s="11"/>
      <c r="H34" s="11"/>
      <c r="I34" s="11"/>
      <c r="J34" s="11"/>
      <c r="K34" s="11"/>
      <c r="L34" s="11"/>
      <c r="M34" s="11"/>
      <c r="N34" s="12"/>
      <c r="O34" s="12"/>
    </row>
    <row r="35" spans="1:15">
      <c r="A35" s="11"/>
      <c r="B35" s="11"/>
      <c r="C35" s="11"/>
      <c r="D35" s="11"/>
      <c r="E35" s="12"/>
      <c r="F35" s="11"/>
      <c r="G35" s="11"/>
      <c r="H35" s="11"/>
      <c r="I35" s="11"/>
      <c r="J35" s="11"/>
      <c r="K35" s="11"/>
      <c r="L35" s="11"/>
      <c r="M35" s="11"/>
      <c r="N35" s="12"/>
      <c r="O35" s="12"/>
    </row>
    <row r="36" spans="1:15">
      <c r="A36" s="11"/>
      <c r="B36" s="11"/>
      <c r="C36" s="11"/>
      <c r="D36" s="11"/>
      <c r="E36" s="12"/>
      <c r="F36" s="11"/>
      <c r="G36" s="11"/>
      <c r="H36" s="11"/>
      <c r="I36" s="11"/>
      <c r="J36" s="11"/>
      <c r="K36" s="11"/>
      <c r="L36" s="11"/>
      <c r="M36" s="11"/>
      <c r="N36" s="12"/>
      <c r="O36" s="12"/>
    </row>
    <row r="37" spans="1:15">
      <c r="A37" s="11"/>
      <c r="B37" s="11"/>
      <c r="C37" s="11"/>
      <c r="D37" s="11"/>
      <c r="E37" s="12"/>
      <c r="F37" s="11"/>
      <c r="G37" s="11"/>
      <c r="H37" s="11"/>
      <c r="I37" s="11"/>
      <c r="J37" s="11"/>
      <c r="K37" s="11"/>
      <c r="L37" s="11"/>
      <c r="M37" s="11"/>
      <c r="N37" s="12"/>
      <c r="O37" s="12"/>
    </row>
    <row r="38" spans="1:15">
      <c r="A38" s="11"/>
      <c r="B38" s="11"/>
      <c r="C38" s="11"/>
      <c r="D38" s="11"/>
      <c r="E38" s="12"/>
      <c r="F38" s="11"/>
      <c r="G38" s="11"/>
      <c r="H38" s="11"/>
      <c r="I38" s="11"/>
      <c r="J38" s="11"/>
      <c r="K38" s="11"/>
      <c r="L38" s="11"/>
      <c r="M38" s="11"/>
      <c r="N38" s="12"/>
      <c r="O38" s="12"/>
    </row>
    <row r="39" spans="1:15">
      <c r="A39" s="11"/>
      <c r="B39" s="11"/>
      <c r="C39" s="11"/>
      <c r="D39" s="11"/>
      <c r="E39" s="12"/>
      <c r="F39" s="11"/>
      <c r="G39" s="11"/>
      <c r="H39" s="11"/>
      <c r="I39" s="11"/>
      <c r="J39" s="11"/>
      <c r="K39" s="11"/>
      <c r="L39" s="11"/>
      <c r="M39" s="11"/>
      <c r="N39" s="12"/>
      <c r="O39" s="12"/>
    </row>
    <row r="40" spans="1:15">
      <c r="A40" s="11"/>
      <c r="B40" s="11"/>
      <c r="C40" s="11"/>
      <c r="D40" s="11"/>
      <c r="E40" s="12"/>
      <c r="F40" s="11"/>
      <c r="G40" s="11"/>
      <c r="H40" s="11"/>
      <c r="I40" s="11"/>
      <c r="J40" s="11"/>
      <c r="K40" s="11"/>
      <c r="L40" s="11"/>
      <c r="M40" s="11"/>
      <c r="N40" s="12"/>
      <c r="O40" s="12"/>
    </row>
    <row r="41" spans="1:15">
      <c r="A41" s="11"/>
      <c r="B41" s="11"/>
      <c r="C41" s="11"/>
      <c r="D41" s="11"/>
      <c r="E41" s="12"/>
      <c r="F41" s="11"/>
      <c r="G41" s="11"/>
      <c r="H41" s="11"/>
      <c r="I41" s="11"/>
      <c r="J41" s="11"/>
      <c r="K41" s="11"/>
      <c r="L41" s="11"/>
      <c r="M41" s="11"/>
      <c r="N41" s="12"/>
      <c r="O41" s="12"/>
    </row>
    <row r="42" spans="1:15">
      <c r="A42" s="11"/>
      <c r="B42" s="11"/>
      <c r="C42" s="11"/>
      <c r="D42" s="11"/>
      <c r="E42" s="12"/>
      <c r="F42" s="11"/>
      <c r="G42" s="11"/>
      <c r="H42" s="11"/>
      <c r="I42" s="11"/>
      <c r="J42" s="11"/>
      <c r="K42" s="11"/>
      <c r="L42" s="11"/>
      <c r="M42" s="11"/>
      <c r="N42" s="12"/>
      <c r="O42" s="12"/>
    </row>
    <row r="43" spans="1:15">
      <c r="A43" s="11"/>
      <c r="B43" s="11"/>
      <c r="C43" s="11"/>
      <c r="D43" s="11"/>
      <c r="E43" s="12"/>
      <c r="F43" s="11"/>
      <c r="G43" s="11"/>
      <c r="H43" s="11"/>
      <c r="I43" s="11"/>
      <c r="J43" s="11"/>
      <c r="K43" s="11"/>
      <c r="L43" s="11"/>
      <c r="M43" s="11"/>
      <c r="N43" s="12"/>
      <c r="O43" s="12"/>
    </row>
    <row r="44" spans="1:15">
      <c r="A44" s="11"/>
      <c r="B44" s="11"/>
      <c r="C44" s="11"/>
      <c r="D44" s="11"/>
      <c r="E44" s="12"/>
      <c r="F44" s="11"/>
      <c r="G44" s="11"/>
      <c r="H44" s="11"/>
      <c r="I44" s="11"/>
      <c r="J44" s="11"/>
      <c r="K44" s="11"/>
      <c r="L44" s="11"/>
      <c r="M44" s="11"/>
      <c r="N44" s="12"/>
      <c r="O44" s="12"/>
    </row>
    <row r="45" spans="1:15">
      <c r="A45" s="11"/>
      <c r="B45" s="11"/>
      <c r="C45" s="11"/>
      <c r="D45" s="11"/>
      <c r="E45" s="12"/>
      <c r="F45" s="11"/>
      <c r="G45" s="11"/>
      <c r="H45" s="11"/>
      <c r="I45" s="11"/>
      <c r="J45" s="11"/>
      <c r="K45" s="11"/>
      <c r="L45" s="11"/>
      <c r="M45" s="11"/>
      <c r="N45" s="12"/>
      <c r="O45" s="12"/>
    </row>
    <row r="46" spans="1:15">
      <c r="A46" s="11"/>
      <c r="B46" s="11"/>
      <c r="C46" s="11"/>
      <c r="D46" s="11"/>
      <c r="E46" s="12"/>
      <c r="F46" s="11"/>
      <c r="G46" s="11"/>
      <c r="H46" s="11"/>
      <c r="I46" s="11"/>
      <c r="J46" s="11"/>
      <c r="K46" s="11"/>
      <c r="L46" s="11"/>
      <c r="M46" s="11"/>
      <c r="N46" s="12"/>
      <c r="O46" s="12"/>
    </row>
    <row r="47" spans="1:15">
      <c r="A47" s="11"/>
      <c r="B47" s="11"/>
      <c r="C47" s="11"/>
      <c r="D47" s="11"/>
      <c r="E47" s="12"/>
      <c r="F47" s="11"/>
      <c r="G47" s="11"/>
      <c r="H47" s="11"/>
      <c r="I47" s="11"/>
      <c r="J47" s="11"/>
      <c r="K47" s="11"/>
      <c r="L47" s="11"/>
      <c r="M47" s="11"/>
      <c r="N47" s="12"/>
      <c r="O47" s="12"/>
    </row>
    <row r="48" spans="1:15">
      <c r="A48" s="11"/>
      <c r="B48" s="11"/>
      <c r="C48" s="11"/>
      <c r="D48" s="11"/>
      <c r="E48" s="12"/>
      <c r="F48" s="11"/>
      <c r="G48" s="11"/>
      <c r="H48" s="11"/>
      <c r="I48" s="11"/>
      <c r="J48" s="11"/>
      <c r="K48" s="11"/>
      <c r="L48" s="11"/>
      <c r="M48" s="11"/>
      <c r="N48" s="12"/>
      <c r="O48" s="12"/>
    </row>
    <row r="49" spans="1:15">
      <c r="A49" s="11"/>
      <c r="B49" s="11"/>
      <c r="C49" s="11"/>
      <c r="D49" s="11"/>
      <c r="E49" s="12"/>
      <c r="F49" s="11"/>
      <c r="G49" s="11"/>
      <c r="H49" s="11"/>
      <c r="I49" s="11"/>
      <c r="J49" s="11"/>
      <c r="K49" s="11"/>
      <c r="L49" s="11"/>
      <c r="M49" s="11"/>
      <c r="N49" s="12"/>
      <c r="O49" s="12"/>
    </row>
    <row r="50" spans="1:15">
      <c r="A50" s="11"/>
      <c r="B50" s="11"/>
      <c r="C50" s="11"/>
      <c r="D50" s="11"/>
      <c r="E50" s="12"/>
      <c r="F50" s="11"/>
      <c r="G50" s="11"/>
      <c r="H50" s="11"/>
      <c r="I50" s="11"/>
      <c r="J50" s="11"/>
      <c r="K50" s="11"/>
      <c r="L50" s="11"/>
      <c r="M50" s="11"/>
      <c r="N50" s="12"/>
      <c r="O50" s="12"/>
    </row>
    <row r="51" spans="1:15">
      <c r="A51" s="11"/>
      <c r="B51" s="11"/>
      <c r="C51" s="11"/>
      <c r="D51" s="11"/>
      <c r="E51" s="12"/>
      <c r="F51" s="11"/>
      <c r="G51" s="11"/>
      <c r="H51" s="11"/>
      <c r="I51" s="11"/>
      <c r="J51" s="11"/>
      <c r="K51" s="11"/>
      <c r="L51" s="11"/>
      <c r="M51" s="11"/>
      <c r="N51" s="12"/>
      <c r="O51" s="12"/>
    </row>
    <row r="52" spans="1:15">
      <c r="A52" s="11"/>
      <c r="B52" s="11"/>
      <c r="C52" s="11"/>
      <c r="D52" s="11"/>
      <c r="E52" s="12"/>
      <c r="F52" s="11"/>
      <c r="G52" s="11"/>
      <c r="H52" s="11"/>
      <c r="I52" s="11"/>
      <c r="J52" s="11"/>
      <c r="K52" s="11"/>
      <c r="L52" s="11"/>
      <c r="M52" s="11"/>
      <c r="N52" s="12"/>
      <c r="O52" s="12"/>
    </row>
    <row r="53" spans="1:15">
      <c r="A53" s="11"/>
      <c r="B53" s="11"/>
      <c r="C53" s="11"/>
      <c r="D53" s="11"/>
      <c r="E53" s="12"/>
      <c r="F53" s="11"/>
      <c r="G53" s="11"/>
      <c r="H53" s="11"/>
      <c r="I53" s="11"/>
      <c r="J53" s="11"/>
      <c r="K53" s="11"/>
      <c r="L53" s="11"/>
      <c r="M53" s="11"/>
      <c r="N53" s="12"/>
      <c r="O53" s="12"/>
    </row>
    <row r="54" spans="1:15">
      <c r="A54" s="11"/>
      <c r="B54" s="11"/>
      <c r="C54" s="11"/>
      <c r="D54" s="11"/>
      <c r="E54" s="12"/>
      <c r="F54" s="11"/>
      <c r="G54" s="11"/>
      <c r="H54" s="11"/>
      <c r="I54" s="11"/>
      <c r="J54" s="11"/>
      <c r="K54" s="11"/>
      <c r="L54" s="11"/>
      <c r="M54" s="11"/>
      <c r="N54" s="12"/>
      <c r="O54" s="12"/>
    </row>
    <row r="55" spans="1:15">
      <c r="A55" s="11"/>
      <c r="B55" s="11"/>
      <c r="C55" s="11"/>
      <c r="D55" s="11"/>
      <c r="E55" s="12"/>
      <c r="F55" s="11"/>
      <c r="G55" s="11"/>
      <c r="H55" s="11"/>
      <c r="I55" s="11"/>
      <c r="J55" s="11"/>
      <c r="K55" s="11"/>
      <c r="L55" s="11"/>
      <c r="M55" s="11"/>
      <c r="N55" s="12"/>
      <c r="O55" s="12"/>
    </row>
    <row r="56" spans="1:15">
      <c r="A56" s="11"/>
      <c r="B56" s="11"/>
      <c r="C56" s="11"/>
      <c r="D56" s="11"/>
      <c r="E56" s="12"/>
      <c r="F56" s="11"/>
      <c r="G56" s="11"/>
      <c r="H56" s="11"/>
      <c r="I56" s="11"/>
      <c r="J56" s="11"/>
      <c r="K56" s="11"/>
      <c r="L56" s="11"/>
      <c r="M56" s="11"/>
      <c r="N56" s="12"/>
      <c r="O56" s="12"/>
    </row>
    <row r="57" spans="1:15">
      <c r="A57" s="11"/>
      <c r="B57" s="11"/>
      <c r="C57" s="11"/>
      <c r="D57" s="11"/>
      <c r="E57" s="12"/>
      <c r="F57" s="11"/>
      <c r="G57" s="11"/>
      <c r="H57" s="11"/>
      <c r="I57" s="11"/>
      <c r="J57" s="11"/>
      <c r="K57" s="11"/>
      <c r="L57" s="11"/>
      <c r="M57" s="11"/>
      <c r="N57" s="12"/>
      <c r="O57" s="12"/>
    </row>
    <row r="58" spans="1:15">
      <c r="A58" s="11"/>
      <c r="B58" s="11"/>
      <c r="C58" s="11"/>
      <c r="D58" s="11"/>
      <c r="E58" s="12"/>
      <c r="F58" s="11"/>
      <c r="G58" s="11"/>
      <c r="H58" s="11"/>
      <c r="I58" s="11"/>
      <c r="J58" s="11"/>
      <c r="K58" s="11"/>
      <c r="L58" s="11"/>
      <c r="M58" s="11"/>
      <c r="N58" s="12"/>
      <c r="O58" s="12"/>
    </row>
    <row r="59" spans="1:15">
      <c r="A59" s="11"/>
      <c r="B59" s="11"/>
      <c r="C59" s="11"/>
      <c r="D59" s="11"/>
      <c r="E59" s="12"/>
      <c r="F59" s="11"/>
      <c r="G59" s="11"/>
      <c r="H59" s="11"/>
      <c r="I59" s="11"/>
      <c r="J59" s="11"/>
      <c r="K59" s="11"/>
      <c r="L59" s="11"/>
      <c r="M59" s="11"/>
      <c r="N59" s="12"/>
      <c r="O59" s="12"/>
    </row>
    <row r="60" spans="1:15">
      <c r="A60" s="11"/>
      <c r="B60" s="11"/>
      <c r="C60" s="11"/>
      <c r="D60" s="11"/>
      <c r="E60" s="12"/>
      <c r="F60" s="11"/>
      <c r="G60" s="11"/>
      <c r="H60" s="11"/>
      <c r="I60" s="11"/>
      <c r="J60" s="11"/>
      <c r="K60" s="11"/>
      <c r="L60" s="11"/>
      <c r="M60" s="11"/>
      <c r="N60" s="12"/>
      <c r="O60" s="12"/>
    </row>
    <row r="61" spans="1:15">
      <c r="A61" s="11"/>
      <c r="B61" s="11"/>
      <c r="C61" s="11"/>
      <c r="D61" s="11"/>
      <c r="E61" s="12"/>
      <c r="F61" s="11"/>
      <c r="G61" s="11"/>
      <c r="H61" s="11"/>
      <c r="I61" s="11"/>
      <c r="J61" s="11"/>
      <c r="K61" s="11"/>
      <c r="L61" s="11"/>
      <c r="M61" s="11"/>
      <c r="N61" s="12"/>
      <c r="O61" s="12"/>
    </row>
    <row r="62" spans="1:15">
      <c r="A62" s="11"/>
      <c r="B62" s="11"/>
      <c r="C62" s="11"/>
      <c r="D62" s="11"/>
      <c r="E62" s="12"/>
      <c r="F62" s="11"/>
      <c r="G62" s="11"/>
      <c r="H62" s="11"/>
      <c r="I62" s="11"/>
      <c r="J62" s="11"/>
      <c r="K62" s="11"/>
      <c r="L62" s="11"/>
      <c r="M62" s="11"/>
      <c r="N62" s="12"/>
      <c r="O62" s="12"/>
    </row>
    <row r="63" spans="1:15">
      <c r="A63" s="11"/>
      <c r="B63" s="11"/>
      <c r="C63" s="11"/>
      <c r="D63" s="11"/>
      <c r="E63" s="12"/>
      <c r="F63" s="11"/>
      <c r="G63" s="11"/>
      <c r="H63" s="11"/>
      <c r="I63" s="11"/>
      <c r="J63" s="11"/>
      <c r="K63" s="11"/>
      <c r="L63" s="11"/>
      <c r="M63" s="11"/>
      <c r="N63" s="12"/>
      <c r="O63" s="12"/>
    </row>
    <row r="64" spans="1:15">
      <c r="A64" s="11"/>
      <c r="B64" s="11"/>
      <c r="C64" s="11"/>
      <c r="D64" s="11"/>
      <c r="E64" s="12"/>
      <c r="F64" s="11"/>
      <c r="G64" s="11"/>
      <c r="H64" s="11"/>
      <c r="I64" s="11"/>
      <c r="J64" s="11"/>
      <c r="K64" s="11"/>
      <c r="L64" s="11"/>
      <c r="M64" s="11"/>
      <c r="N64" s="12"/>
      <c r="O64" s="12"/>
    </row>
    <row r="65" spans="1:15">
      <c r="A65" s="11"/>
      <c r="B65" s="11"/>
      <c r="C65" s="11"/>
      <c r="D65" s="11"/>
      <c r="E65" s="12"/>
      <c r="F65" s="11"/>
      <c r="G65" s="11"/>
      <c r="H65" s="11"/>
      <c r="I65" s="11"/>
      <c r="J65" s="11"/>
      <c r="K65" s="11"/>
      <c r="L65" s="11"/>
      <c r="M65" s="11"/>
      <c r="N65" s="12"/>
      <c r="O65" s="12"/>
    </row>
    <row r="66" spans="1:15">
      <c r="A66" s="11"/>
      <c r="B66" s="11"/>
      <c r="C66" s="11"/>
      <c r="D66" s="11"/>
      <c r="E66" s="12"/>
      <c r="F66" s="11"/>
      <c r="G66" s="11"/>
      <c r="H66" s="11"/>
      <c r="I66" s="11"/>
      <c r="J66" s="11"/>
      <c r="K66" s="11"/>
      <c r="L66" s="11"/>
      <c r="M66" s="11"/>
      <c r="N66" s="12"/>
      <c r="O66" s="12"/>
    </row>
    <row r="67" spans="1:15">
      <c r="A67" s="11"/>
      <c r="B67" s="11"/>
      <c r="C67" s="11"/>
      <c r="D67" s="11"/>
      <c r="E67" s="12"/>
      <c r="F67" s="11"/>
      <c r="G67" s="11"/>
      <c r="H67" s="11"/>
      <c r="I67" s="11"/>
      <c r="J67" s="11"/>
      <c r="K67" s="11"/>
      <c r="L67" s="11"/>
      <c r="M67" s="11"/>
      <c r="N67" s="12"/>
      <c r="O67" s="12"/>
    </row>
    <row r="68" spans="1:15">
      <c r="A68" s="11"/>
      <c r="B68" s="11"/>
      <c r="C68" s="11"/>
      <c r="D68" s="11"/>
      <c r="E68" s="12"/>
      <c r="F68" s="11"/>
      <c r="G68" s="11"/>
      <c r="H68" s="11"/>
      <c r="I68" s="11"/>
      <c r="J68" s="11"/>
      <c r="K68" s="11"/>
      <c r="L68" s="11"/>
      <c r="M68" s="11"/>
      <c r="N68" s="12"/>
      <c r="O68" s="12"/>
    </row>
    <row r="69" spans="1:15">
      <c r="A69" s="11"/>
      <c r="B69" s="11"/>
      <c r="C69" s="11"/>
      <c r="D69" s="11"/>
      <c r="E69" s="12"/>
      <c r="F69" s="11"/>
      <c r="G69" s="11"/>
      <c r="H69" s="11"/>
      <c r="I69" s="11"/>
      <c r="J69" s="11"/>
      <c r="K69" s="11"/>
      <c r="L69" s="11"/>
      <c r="M69" s="11"/>
      <c r="N69" s="12"/>
      <c r="O69" s="12"/>
    </row>
    <row r="70" spans="1:15">
      <c r="A70" s="11"/>
      <c r="B70" s="11"/>
      <c r="C70" s="11"/>
      <c r="D70" s="11"/>
      <c r="E70" s="12"/>
      <c r="F70" s="11"/>
      <c r="G70" s="11"/>
      <c r="H70" s="11"/>
      <c r="I70" s="11"/>
      <c r="J70" s="11"/>
      <c r="K70" s="11"/>
      <c r="L70" s="11"/>
      <c r="M70" s="11"/>
      <c r="N70" s="12"/>
      <c r="O70" s="12"/>
    </row>
    <row r="71" spans="1:15">
      <c r="A71" s="11"/>
      <c r="B71" s="11"/>
      <c r="C71" s="11"/>
      <c r="D71" s="11"/>
      <c r="E71" s="12"/>
      <c r="F71" s="11"/>
      <c r="G71" s="11"/>
      <c r="H71" s="11"/>
      <c r="I71" s="11"/>
      <c r="J71" s="11"/>
      <c r="K71" s="11"/>
      <c r="L71" s="11"/>
      <c r="M71" s="11"/>
      <c r="N71" s="12"/>
      <c r="O71" s="12"/>
    </row>
    <row r="72" spans="1:15">
      <c r="A72" s="11"/>
      <c r="B72" s="11"/>
      <c r="C72" s="11"/>
      <c r="D72" s="11"/>
      <c r="E72" s="12"/>
      <c r="F72" s="11"/>
      <c r="G72" s="11"/>
      <c r="H72" s="11"/>
      <c r="I72" s="11"/>
      <c r="J72" s="11"/>
      <c r="K72" s="11"/>
      <c r="L72" s="11"/>
      <c r="M72" s="11"/>
      <c r="N72" s="12"/>
      <c r="O72" s="12"/>
    </row>
    <row r="73" spans="1:15">
      <c r="A73" s="11"/>
      <c r="B73" s="11"/>
      <c r="C73" s="11"/>
      <c r="D73" s="11"/>
      <c r="E73" s="12"/>
      <c r="F73" s="11"/>
      <c r="G73" s="11"/>
      <c r="H73" s="11"/>
      <c r="I73" s="11"/>
      <c r="J73" s="11"/>
      <c r="K73" s="11"/>
      <c r="L73" s="11"/>
      <c r="M73" s="11"/>
      <c r="N73" s="12"/>
      <c r="O73" s="12"/>
    </row>
    <row r="74" spans="1:15">
      <c r="A74" s="11"/>
      <c r="B74" s="11"/>
      <c r="C74" s="11"/>
      <c r="D74" s="11"/>
      <c r="E74" s="12"/>
      <c r="F74" s="11"/>
      <c r="G74" s="11"/>
      <c r="H74" s="11"/>
      <c r="I74" s="11"/>
      <c r="J74" s="11"/>
      <c r="K74" s="11"/>
      <c r="L74" s="11"/>
      <c r="M74" s="11"/>
      <c r="N74" s="12"/>
      <c r="O74" s="12"/>
    </row>
    <row r="75" spans="1:15">
      <c r="A75" s="11"/>
      <c r="B75" s="11"/>
      <c r="C75" s="11"/>
      <c r="D75" s="11"/>
      <c r="E75" s="12"/>
      <c r="F75" s="11"/>
      <c r="G75" s="11"/>
      <c r="H75" s="11"/>
      <c r="I75" s="11"/>
      <c r="J75" s="11"/>
      <c r="K75" s="11"/>
      <c r="L75" s="11"/>
      <c r="M75" s="11"/>
      <c r="N75" s="12"/>
      <c r="O75" s="12"/>
    </row>
    <row r="76" spans="1:15">
      <c r="A76" s="11"/>
      <c r="B76" s="11"/>
      <c r="C76" s="11"/>
      <c r="D76" s="11"/>
      <c r="E76" s="12"/>
      <c r="F76" s="11"/>
      <c r="G76" s="11"/>
      <c r="H76" s="11"/>
      <c r="I76" s="11"/>
      <c r="J76" s="11"/>
      <c r="K76" s="11"/>
      <c r="L76" s="11"/>
      <c r="M76" s="11"/>
      <c r="N76" s="12"/>
      <c r="O76" s="12"/>
    </row>
    <row r="77" spans="1:15">
      <c r="A77" s="11"/>
      <c r="B77" s="11"/>
      <c r="C77" s="11"/>
      <c r="D77" s="11"/>
      <c r="E77" s="12"/>
      <c r="F77" s="11"/>
      <c r="G77" s="11"/>
      <c r="H77" s="11"/>
      <c r="I77" s="11"/>
      <c r="J77" s="11"/>
      <c r="K77" s="11"/>
      <c r="L77" s="11"/>
      <c r="M77" s="11"/>
      <c r="N77" s="12"/>
      <c r="O77" s="12"/>
    </row>
    <row r="78" spans="1:15">
      <c r="A78" s="11"/>
      <c r="B78" s="11"/>
      <c r="C78" s="11"/>
      <c r="D78" s="11"/>
      <c r="E78" s="12"/>
      <c r="F78" s="11"/>
      <c r="G78" s="11"/>
      <c r="H78" s="11"/>
      <c r="I78" s="11"/>
      <c r="J78" s="11"/>
      <c r="K78" s="11"/>
      <c r="L78" s="11"/>
      <c r="M78" s="11"/>
      <c r="N78" s="12"/>
      <c r="O78" s="12"/>
    </row>
    <row r="79" spans="1:15">
      <c r="A79" s="11"/>
      <c r="B79" s="11"/>
      <c r="C79" s="11"/>
      <c r="D79" s="11"/>
      <c r="E79" s="12"/>
      <c r="F79" s="11"/>
      <c r="G79" s="11"/>
      <c r="H79" s="11"/>
      <c r="I79" s="11"/>
      <c r="J79" s="11"/>
      <c r="K79" s="11"/>
      <c r="L79" s="11"/>
      <c r="M79" s="11"/>
      <c r="N79" s="12"/>
      <c r="O79" s="12"/>
    </row>
    <row r="80" spans="1:15">
      <c r="A80" s="11"/>
      <c r="B80" s="11"/>
      <c r="C80" s="11"/>
      <c r="D80" s="11"/>
      <c r="E80" s="12"/>
      <c r="F80" s="11"/>
      <c r="G80" s="11"/>
      <c r="H80" s="11"/>
      <c r="I80" s="11"/>
      <c r="J80" s="11"/>
      <c r="K80" s="11"/>
      <c r="L80" s="11"/>
      <c r="M80" s="11"/>
      <c r="N80" s="12"/>
      <c r="O80" s="12"/>
    </row>
    <row r="81" spans="1:15">
      <c r="A81" s="11"/>
      <c r="B81" s="11"/>
      <c r="C81" s="11"/>
      <c r="D81" s="11"/>
      <c r="E81" s="12"/>
      <c r="F81" s="11"/>
      <c r="G81" s="11"/>
      <c r="H81" s="11"/>
      <c r="I81" s="11"/>
      <c r="J81" s="11"/>
      <c r="K81" s="11"/>
      <c r="L81" s="11"/>
      <c r="M81" s="11"/>
      <c r="N81" s="12"/>
      <c r="O81" s="12"/>
    </row>
    <row r="82" spans="1:15">
      <c r="A82" s="11"/>
      <c r="B82" s="11"/>
      <c r="C82" s="11"/>
      <c r="D82" s="11"/>
      <c r="E82" s="12"/>
      <c r="F82" s="11"/>
      <c r="G82" s="11"/>
      <c r="H82" s="11"/>
      <c r="I82" s="11"/>
      <c r="J82" s="11"/>
      <c r="K82" s="11"/>
      <c r="L82" s="11"/>
      <c r="M82" s="11"/>
      <c r="N82" s="12"/>
      <c r="O82" s="12"/>
    </row>
    <row r="83" spans="1:15">
      <c r="A83" s="11"/>
      <c r="B83" s="11"/>
      <c r="C83" s="11"/>
      <c r="D83" s="11"/>
      <c r="E83" s="12"/>
      <c r="F83" s="11"/>
      <c r="G83" s="11"/>
      <c r="H83" s="11"/>
      <c r="I83" s="11"/>
      <c r="J83" s="11"/>
      <c r="K83" s="11"/>
      <c r="L83" s="11"/>
      <c r="M83" s="11"/>
      <c r="N83" s="12"/>
      <c r="O83" s="12"/>
    </row>
    <row r="84" spans="1:15">
      <c r="A84" s="11"/>
      <c r="B84" s="11"/>
      <c r="C84" s="11"/>
      <c r="D84" s="11"/>
      <c r="E84" s="12"/>
      <c r="F84" s="11"/>
      <c r="G84" s="11"/>
      <c r="H84" s="11"/>
      <c r="I84" s="11"/>
      <c r="J84" s="11"/>
      <c r="K84" s="11"/>
      <c r="L84" s="11"/>
      <c r="M84" s="11"/>
      <c r="N84" s="12"/>
      <c r="O84" s="12"/>
    </row>
    <row r="85" spans="1:15">
      <c r="A85" s="11"/>
      <c r="B85" s="11"/>
      <c r="C85" s="11"/>
      <c r="D85" s="11"/>
      <c r="E85" s="12"/>
      <c r="F85" s="11"/>
      <c r="G85" s="11"/>
      <c r="H85" s="11"/>
      <c r="I85" s="11"/>
      <c r="J85" s="11"/>
      <c r="K85" s="11"/>
      <c r="L85" s="11"/>
      <c r="M85" s="11"/>
      <c r="N85" s="12"/>
      <c r="O85" s="12"/>
    </row>
    <row r="86" spans="1:15">
      <c r="A86" s="11"/>
      <c r="B86" s="11"/>
      <c r="C86" s="11"/>
      <c r="D86" s="11"/>
      <c r="E86" s="12"/>
      <c r="F86" s="11"/>
      <c r="G86" s="11"/>
      <c r="H86" s="11"/>
      <c r="I86" s="11"/>
      <c r="J86" s="11"/>
      <c r="K86" s="11"/>
      <c r="L86" s="11"/>
      <c r="M86" s="11"/>
      <c r="N86" s="12"/>
      <c r="O86" s="12"/>
    </row>
    <row r="87" spans="1:15">
      <c r="A87" s="11"/>
      <c r="B87" s="11"/>
      <c r="C87" s="11"/>
      <c r="D87" s="11"/>
      <c r="E87" s="12"/>
      <c r="F87" s="11"/>
      <c r="G87" s="11"/>
      <c r="H87" s="11"/>
      <c r="I87" s="11"/>
      <c r="J87" s="11"/>
      <c r="K87" s="11"/>
      <c r="L87" s="11"/>
      <c r="M87" s="11"/>
      <c r="N87" s="12"/>
      <c r="O87" s="12"/>
    </row>
    <row r="88" spans="1:15">
      <c r="A88" s="11"/>
      <c r="B88" s="11"/>
      <c r="C88" s="11"/>
      <c r="D88" s="11"/>
      <c r="E88" s="12"/>
      <c r="F88" s="11"/>
      <c r="G88" s="11"/>
      <c r="H88" s="11"/>
      <c r="I88" s="11"/>
      <c r="J88" s="11"/>
      <c r="K88" s="11"/>
      <c r="L88" s="11"/>
      <c r="M88" s="11"/>
      <c r="N88" s="12"/>
      <c r="O88" s="12"/>
    </row>
    <row r="89" spans="1:15">
      <c r="A89" s="11"/>
      <c r="B89" s="11"/>
      <c r="C89" s="11"/>
      <c r="D89" s="11"/>
      <c r="E89" s="12"/>
      <c r="F89" s="11"/>
      <c r="G89" s="11"/>
      <c r="H89" s="11"/>
      <c r="I89" s="11"/>
      <c r="J89" s="11"/>
      <c r="K89" s="11"/>
      <c r="L89" s="11"/>
      <c r="M89" s="11"/>
      <c r="N89" s="12"/>
      <c r="O89" s="12"/>
    </row>
    <row r="90" spans="1:15">
      <c r="A90" s="11"/>
      <c r="B90" s="11"/>
      <c r="C90" s="11"/>
      <c r="D90" s="11"/>
      <c r="E90" s="12"/>
      <c r="F90" s="11"/>
      <c r="G90" s="11"/>
      <c r="H90" s="11"/>
      <c r="I90" s="11"/>
      <c r="J90" s="11"/>
      <c r="K90" s="11"/>
      <c r="L90" s="11"/>
      <c r="M90" s="11"/>
      <c r="N90" s="12"/>
      <c r="O90" s="12"/>
    </row>
    <row r="91" spans="1:15">
      <c r="A91" s="11"/>
      <c r="B91" s="11"/>
      <c r="C91" s="11"/>
      <c r="D91" s="11"/>
      <c r="E91" s="12"/>
      <c r="F91" s="11"/>
      <c r="G91" s="11"/>
      <c r="H91" s="11"/>
      <c r="I91" s="11"/>
      <c r="J91" s="11"/>
      <c r="K91" s="11"/>
      <c r="L91" s="11"/>
      <c r="M91" s="11"/>
      <c r="N91" s="12"/>
      <c r="O91" s="12"/>
    </row>
    <row r="92" spans="1:15">
      <c r="A92" s="11"/>
      <c r="B92" s="11"/>
      <c r="C92" s="11"/>
      <c r="D92" s="11"/>
      <c r="E92" s="12"/>
      <c r="F92" s="11"/>
      <c r="G92" s="11"/>
      <c r="H92" s="11"/>
      <c r="I92" s="11"/>
      <c r="J92" s="11"/>
      <c r="K92" s="11"/>
      <c r="L92" s="11"/>
      <c r="M92" s="11"/>
      <c r="N92" s="12"/>
      <c r="O92" s="12"/>
    </row>
    <row r="93" spans="1:15">
      <c r="A93" s="11"/>
      <c r="B93" s="11"/>
      <c r="C93" s="11"/>
      <c r="D93" s="11"/>
      <c r="E93" s="12"/>
      <c r="F93" s="11"/>
      <c r="G93" s="11"/>
      <c r="H93" s="11"/>
      <c r="I93" s="11"/>
      <c r="J93" s="11"/>
      <c r="K93" s="11"/>
      <c r="L93" s="11"/>
      <c r="M93" s="11"/>
      <c r="N93" s="12"/>
      <c r="O93" s="12"/>
    </row>
    <row r="94" spans="1:15">
      <c r="A94" s="11"/>
      <c r="B94" s="11"/>
      <c r="C94" s="11"/>
      <c r="D94" s="11"/>
      <c r="E94" s="12"/>
      <c r="F94" s="11"/>
      <c r="G94" s="11"/>
      <c r="H94" s="11"/>
      <c r="I94" s="11"/>
      <c r="J94" s="11"/>
      <c r="K94" s="11"/>
      <c r="L94" s="11"/>
      <c r="M94" s="11"/>
      <c r="N94" s="12"/>
      <c r="O94" s="12"/>
    </row>
    <row r="95" spans="1:15">
      <c r="A95" s="11"/>
      <c r="B95" s="11"/>
      <c r="C95" s="11"/>
      <c r="D95" s="11"/>
      <c r="E95" s="12"/>
      <c r="F95" s="11"/>
      <c r="G95" s="11"/>
      <c r="H95" s="11"/>
      <c r="I95" s="11"/>
      <c r="J95" s="11"/>
      <c r="K95" s="11"/>
      <c r="L95" s="11"/>
      <c r="M95" s="11"/>
      <c r="N95" s="12"/>
      <c r="O95" s="12"/>
    </row>
    <row r="96" spans="1:15">
      <c r="A96" s="11"/>
      <c r="B96" s="11"/>
      <c r="C96" s="11"/>
      <c r="D96" s="11"/>
      <c r="E96" s="12"/>
      <c r="F96" s="11"/>
      <c r="G96" s="11"/>
      <c r="H96" s="11"/>
      <c r="I96" s="11"/>
      <c r="J96" s="11"/>
      <c r="K96" s="11"/>
      <c r="L96" s="11"/>
      <c r="M96" s="11"/>
      <c r="N96" s="12"/>
      <c r="O96" s="12"/>
    </row>
    <row r="97" spans="1:15">
      <c r="A97" s="11"/>
      <c r="B97" s="11"/>
      <c r="C97" s="11"/>
      <c r="D97" s="11"/>
      <c r="E97" s="12"/>
      <c r="F97" s="11"/>
      <c r="G97" s="11"/>
      <c r="H97" s="11"/>
      <c r="I97" s="11"/>
      <c r="J97" s="11"/>
      <c r="K97" s="11"/>
      <c r="L97" s="11"/>
      <c r="M97" s="11"/>
      <c r="N97" s="12"/>
      <c r="O97" s="12"/>
    </row>
    <row r="98" spans="1:15">
      <c r="E98" s="17"/>
      <c r="N98" s="17"/>
    </row>
    <row r="99" spans="1:15">
      <c r="E99" s="17"/>
      <c r="N99" s="17"/>
    </row>
    <row r="100" spans="1:15">
      <c r="E100" s="17"/>
      <c r="N100" s="17"/>
    </row>
    <row r="101" spans="1:15">
      <c r="E101" s="17"/>
      <c r="N101" s="17"/>
    </row>
    <row r="102" spans="1:15">
      <c r="E102" s="17"/>
      <c r="N102" s="17"/>
    </row>
    <row r="103" spans="1:15">
      <c r="E103" s="17"/>
      <c r="N103" s="17"/>
    </row>
    <row r="104" spans="1:15">
      <c r="E104" s="17"/>
      <c r="N104" s="17"/>
    </row>
    <row r="105" spans="1:15">
      <c r="E105" s="17"/>
      <c r="N105" s="17"/>
    </row>
    <row r="106" spans="1:15">
      <c r="E106" s="17"/>
      <c r="N106" s="17"/>
    </row>
    <row r="107" spans="1:15">
      <c r="E107" s="17"/>
      <c r="N107" s="17"/>
    </row>
    <row r="108" spans="1:15">
      <c r="E108" s="17"/>
      <c r="N108" s="17"/>
    </row>
    <row r="109" spans="1:15">
      <c r="E109" s="17"/>
      <c r="N109" s="17"/>
    </row>
    <row r="110" spans="1:15">
      <c r="E110" s="17"/>
      <c r="N110" s="17"/>
    </row>
    <row r="111" spans="1:15">
      <c r="E111" s="17"/>
      <c r="N111" s="17"/>
    </row>
    <row r="112" spans="1:15">
      <c r="E112" s="17"/>
      <c r="N112" s="17"/>
    </row>
    <row r="113" spans="5:14">
      <c r="E113" s="17"/>
      <c r="N113" s="17"/>
    </row>
    <row r="114" spans="5:14">
      <c r="E114" s="17"/>
      <c r="N114" s="17"/>
    </row>
    <row r="115" spans="5:14">
      <c r="E115" s="17"/>
      <c r="N115" s="17"/>
    </row>
    <row r="116" spans="5:14">
      <c r="E116" s="17"/>
      <c r="N116" s="17"/>
    </row>
    <row r="117" spans="5:14">
      <c r="E117" s="17"/>
      <c r="N117" s="17"/>
    </row>
    <row r="118" spans="5:14">
      <c r="E118" s="17"/>
      <c r="N118" s="17"/>
    </row>
    <row r="119" spans="5:14">
      <c r="E119" s="17"/>
      <c r="N119" s="17"/>
    </row>
    <row r="120" spans="5:14">
      <c r="E120" s="17"/>
      <c r="N120" s="17"/>
    </row>
    <row r="121" spans="5:14">
      <c r="E121" s="17"/>
      <c r="N121" s="17"/>
    </row>
    <row r="122" spans="5:14">
      <c r="E122" s="17"/>
      <c r="N122" s="17"/>
    </row>
    <row r="123" spans="5:14">
      <c r="E123" s="17"/>
      <c r="N123" s="17"/>
    </row>
    <row r="124" spans="5:14">
      <c r="E124" s="17"/>
      <c r="N124" s="17"/>
    </row>
    <row r="125" spans="5:14">
      <c r="E125" s="17"/>
      <c r="N125" s="17"/>
    </row>
    <row r="126" spans="5:14">
      <c r="E126" s="17"/>
      <c r="N126" s="17"/>
    </row>
    <row r="127" spans="5:14">
      <c r="E127" s="17"/>
      <c r="N127" s="17"/>
    </row>
    <row r="128" spans="5:14">
      <c r="E128" s="17"/>
      <c r="N128" s="17"/>
    </row>
    <row r="129" spans="5:14">
      <c r="E129" s="17"/>
      <c r="N129" s="17"/>
    </row>
    <row r="130" spans="5:14">
      <c r="E130" s="17"/>
      <c r="N130" s="17"/>
    </row>
    <row r="131" spans="5:14">
      <c r="E131" s="17"/>
      <c r="N131" s="17"/>
    </row>
    <row r="132" spans="5:14">
      <c r="E132" s="17"/>
      <c r="N132" s="17"/>
    </row>
    <row r="133" spans="5:14">
      <c r="E133" s="17"/>
      <c r="N133" s="17"/>
    </row>
    <row r="134" spans="5:14">
      <c r="E134" s="17"/>
      <c r="N134" s="17"/>
    </row>
    <row r="135" spans="5:14">
      <c r="E135" s="17"/>
      <c r="N135" s="17"/>
    </row>
    <row r="136" spans="5:14">
      <c r="E136" s="17"/>
      <c r="N136" s="17"/>
    </row>
    <row r="137" spans="5:14">
      <c r="E137" s="17"/>
      <c r="N137" s="17"/>
    </row>
    <row r="138" spans="5:14">
      <c r="E138" s="17"/>
      <c r="N138" s="17"/>
    </row>
    <row r="139" spans="5:14">
      <c r="E139" s="17"/>
      <c r="N139" s="17"/>
    </row>
    <row r="140" spans="5:14">
      <c r="E140" s="17"/>
      <c r="N140" s="17"/>
    </row>
    <row r="141" spans="5:14">
      <c r="E141" s="17"/>
      <c r="N141" s="17"/>
    </row>
    <row r="142" spans="5:14">
      <c r="E142" s="17"/>
      <c r="N142" s="17"/>
    </row>
    <row r="143" spans="5:14">
      <c r="E143" s="17"/>
      <c r="N143" s="17"/>
    </row>
    <row r="144" spans="5:14">
      <c r="E144" s="17"/>
      <c r="N144" s="17"/>
    </row>
    <row r="145" spans="5:14">
      <c r="E145" s="17"/>
      <c r="N145" s="17"/>
    </row>
    <row r="146" spans="5:14">
      <c r="E146" s="17"/>
      <c r="N146" s="17"/>
    </row>
    <row r="147" spans="5:14">
      <c r="E147" s="17"/>
      <c r="N147" s="17"/>
    </row>
    <row r="148" spans="5:14">
      <c r="E148" s="17"/>
      <c r="N148" s="17"/>
    </row>
    <row r="149" spans="5:14">
      <c r="E149" s="17"/>
      <c r="N149" s="17"/>
    </row>
    <row r="150" spans="5:14">
      <c r="E150" s="17"/>
      <c r="N150" s="17"/>
    </row>
    <row r="151" spans="5:14">
      <c r="E151" s="17"/>
      <c r="N151" s="17"/>
    </row>
    <row r="152" spans="5:14">
      <c r="E152" s="17"/>
      <c r="N152" s="17"/>
    </row>
    <row r="153" spans="5:14">
      <c r="E153" s="17"/>
      <c r="N153" s="17"/>
    </row>
    <row r="154" spans="5:14">
      <c r="E154" s="17"/>
      <c r="N154" s="17"/>
    </row>
    <row r="155" spans="5:14">
      <c r="E155" s="17"/>
      <c r="N155" s="17"/>
    </row>
    <row r="156" spans="5:14">
      <c r="E156" s="17"/>
      <c r="N156" s="17"/>
    </row>
    <row r="157" spans="5:14">
      <c r="E157" s="17"/>
      <c r="N157" s="17"/>
    </row>
    <row r="158" spans="5:14">
      <c r="E158" s="17"/>
      <c r="N158" s="17"/>
    </row>
    <row r="159" spans="5:14">
      <c r="E159" s="17"/>
      <c r="N159" s="17"/>
    </row>
    <row r="160" spans="5:14">
      <c r="E160" s="17"/>
      <c r="N160" s="17"/>
    </row>
    <row r="161" spans="5:14">
      <c r="E161" s="17"/>
      <c r="N161" s="17"/>
    </row>
    <row r="162" spans="5:14">
      <c r="E162" s="17"/>
      <c r="N162" s="17"/>
    </row>
    <row r="163" spans="5:14">
      <c r="E163" s="17"/>
      <c r="N163" s="17"/>
    </row>
    <row r="164" spans="5:14">
      <c r="E164" s="17"/>
      <c r="N164" s="17"/>
    </row>
    <row r="165" spans="5:14">
      <c r="E165" s="17"/>
      <c r="N165" s="17"/>
    </row>
    <row r="166" spans="5:14">
      <c r="E166" s="17"/>
      <c r="N166" s="17"/>
    </row>
    <row r="167" spans="5:14">
      <c r="E167" s="17"/>
      <c r="N167" s="17"/>
    </row>
    <row r="168" spans="5:14">
      <c r="E168" s="17"/>
      <c r="N168" s="17"/>
    </row>
    <row r="169" spans="5:14">
      <c r="E169" s="17"/>
      <c r="N169" s="17"/>
    </row>
    <row r="170" spans="5:14">
      <c r="E170" s="17"/>
      <c r="N170" s="17"/>
    </row>
    <row r="171" spans="5:14">
      <c r="E171" s="17"/>
      <c r="N171" s="17"/>
    </row>
    <row r="172" spans="5:14">
      <c r="E172" s="17"/>
      <c r="N172" s="17"/>
    </row>
    <row r="173" spans="5:14">
      <c r="E173" s="17"/>
      <c r="N173" s="17"/>
    </row>
    <row r="174" spans="5:14">
      <c r="E174" s="17"/>
      <c r="N174" s="17"/>
    </row>
    <row r="175" spans="5:14">
      <c r="E175" s="17"/>
      <c r="N175" s="17"/>
    </row>
    <row r="176" spans="5:14">
      <c r="E176" s="17"/>
      <c r="N176" s="17"/>
    </row>
    <row r="177" spans="5:14">
      <c r="E177" s="17"/>
      <c r="N177" s="17"/>
    </row>
    <row r="178" spans="5:14">
      <c r="E178" s="17"/>
      <c r="N178" s="17"/>
    </row>
    <row r="179" spans="5:14">
      <c r="E179" s="17"/>
      <c r="N179" s="17"/>
    </row>
    <row r="180" spans="5:14">
      <c r="E180" s="17"/>
      <c r="N180" s="17"/>
    </row>
    <row r="181" spans="5:14">
      <c r="E181" s="17"/>
      <c r="N181" s="17"/>
    </row>
    <row r="182" spans="5:14">
      <c r="E182" s="17"/>
      <c r="N182" s="17"/>
    </row>
    <row r="183" spans="5:14">
      <c r="E183" s="17"/>
      <c r="N183" s="17"/>
    </row>
    <row r="184" spans="5:14">
      <c r="E184" s="17"/>
      <c r="N184" s="17"/>
    </row>
    <row r="185" spans="5:14">
      <c r="E185" s="17"/>
      <c r="N185" s="17"/>
    </row>
    <row r="186" spans="5:14">
      <c r="E186" s="17"/>
      <c r="N186" s="17"/>
    </row>
    <row r="187" spans="5:14">
      <c r="E187" s="17"/>
      <c r="N187" s="17"/>
    </row>
    <row r="188" spans="5:14">
      <c r="E188" s="17"/>
      <c r="N188" s="17"/>
    </row>
    <row r="189" spans="5:14">
      <c r="E189" s="17"/>
      <c r="N189" s="17"/>
    </row>
    <row r="190" spans="5:14">
      <c r="E190" s="17"/>
      <c r="N190" s="17"/>
    </row>
    <row r="191" spans="5:14">
      <c r="E191" s="17"/>
      <c r="N191" s="17"/>
    </row>
    <row r="192" spans="5:14">
      <c r="E192" s="17"/>
      <c r="N192" s="17"/>
    </row>
    <row r="193" spans="5:14">
      <c r="E193" s="17"/>
      <c r="N193" s="17"/>
    </row>
    <row r="194" spans="5:14">
      <c r="E194" s="17"/>
      <c r="N194" s="17"/>
    </row>
    <row r="195" spans="5:14">
      <c r="E195" s="17"/>
      <c r="N195" s="17"/>
    </row>
    <row r="196" spans="5:14">
      <c r="E196" s="17"/>
      <c r="N196" s="17"/>
    </row>
    <row r="197" spans="5:14">
      <c r="E197" s="17"/>
      <c r="N197" s="17"/>
    </row>
    <row r="198" spans="5:14">
      <c r="E198" s="17"/>
      <c r="N198" s="17"/>
    </row>
    <row r="199" spans="5:14">
      <c r="E199" s="17"/>
      <c r="N199" s="17"/>
    </row>
    <row r="200" spans="5:14">
      <c r="E200" s="17"/>
      <c r="N200" s="17"/>
    </row>
    <row r="201" spans="5:14">
      <c r="E201" s="17"/>
      <c r="N201" s="17"/>
    </row>
    <row r="202" spans="5:14">
      <c r="E202" s="17"/>
      <c r="N202" s="17"/>
    </row>
    <row r="203" spans="5:14">
      <c r="E203" s="17"/>
      <c r="N203" s="17"/>
    </row>
    <row r="204" spans="5:14">
      <c r="E204" s="17"/>
      <c r="N204" s="17"/>
    </row>
    <row r="205" spans="5:14">
      <c r="E205" s="17"/>
      <c r="N205" s="17"/>
    </row>
    <row r="206" spans="5:14">
      <c r="E206" s="17"/>
      <c r="N206" s="17"/>
    </row>
    <row r="207" spans="5:14">
      <c r="E207" s="17"/>
      <c r="N207" s="17"/>
    </row>
    <row r="208" spans="5:14">
      <c r="E208" s="17"/>
      <c r="N208" s="17"/>
    </row>
    <row r="209" spans="5:14">
      <c r="E209" s="17"/>
      <c r="N209" s="17"/>
    </row>
    <row r="210" spans="5:14">
      <c r="E210" s="17"/>
      <c r="N210" s="17"/>
    </row>
    <row r="211" spans="5:14">
      <c r="E211" s="17"/>
      <c r="N211" s="17"/>
    </row>
    <row r="212" spans="5:14">
      <c r="E212" s="17"/>
      <c r="N212" s="17"/>
    </row>
    <row r="213" spans="5:14">
      <c r="E213" s="17"/>
      <c r="N213" s="17"/>
    </row>
    <row r="214" spans="5:14">
      <c r="E214" s="17"/>
      <c r="N214" s="17"/>
    </row>
    <row r="215" spans="5:14">
      <c r="E215" s="17"/>
      <c r="N215" s="17"/>
    </row>
    <row r="216" spans="5:14">
      <c r="E216" s="17"/>
      <c r="N216" s="17"/>
    </row>
    <row r="217" spans="5:14">
      <c r="E217" s="17"/>
      <c r="N217" s="17"/>
    </row>
    <row r="218" spans="5:14">
      <c r="E218" s="17"/>
      <c r="N218" s="17"/>
    </row>
    <row r="219" spans="5:14">
      <c r="E219" s="17"/>
      <c r="N219" s="17"/>
    </row>
    <row r="220" spans="5:14">
      <c r="E220" s="17"/>
      <c r="N220" s="17"/>
    </row>
    <row r="221" spans="5:14">
      <c r="E221" s="17"/>
      <c r="N221" s="17"/>
    </row>
    <row r="222" spans="5:14">
      <c r="E222" s="17"/>
      <c r="N222" s="17"/>
    </row>
    <row r="223" spans="5:14">
      <c r="E223" s="17"/>
      <c r="N223" s="17"/>
    </row>
    <row r="224" spans="5:14">
      <c r="E224" s="17"/>
      <c r="N224" s="17"/>
    </row>
    <row r="225" spans="5:14">
      <c r="E225" s="17"/>
      <c r="N225" s="17"/>
    </row>
    <row r="226" spans="5:14">
      <c r="E226" s="17"/>
      <c r="N226" s="17"/>
    </row>
    <row r="227" spans="5:14">
      <c r="E227" s="17"/>
      <c r="N227" s="17"/>
    </row>
    <row r="228" spans="5:14">
      <c r="E228" s="17"/>
      <c r="N228" s="17"/>
    </row>
    <row r="229" spans="5:14">
      <c r="E229" s="17"/>
      <c r="N229" s="17"/>
    </row>
    <row r="230" spans="5:14">
      <c r="E230" s="17"/>
      <c r="N230" s="17"/>
    </row>
    <row r="231" spans="5:14">
      <c r="E231" s="17"/>
      <c r="N231" s="17"/>
    </row>
    <row r="232" spans="5:14">
      <c r="E232" s="17"/>
      <c r="N232" s="17"/>
    </row>
    <row r="233" spans="5:14">
      <c r="E233" s="17"/>
      <c r="N233" s="17"/>
    </row>
    <row r="234" spans="5:14">
      <c r="E234" s="17"/>
      <c r="N234" s="17"/>
    </row>
    <row r="235" spans="5:14">
      <c r="E235" s="17"/>
      <c r="N235" s="17"/>
    </row>
    <row r="236" spans="5:14">
      <c r="E236" s="17"/>
      <c r="N236" s="17"/>
    </row>
    <row r="237" spans="5:14">
      <c r="E237" s="17"/>
      <c r="N237" s="17"/>
    </row>
    <row r="238" spans="5:14">
      <c r="E238" s="17"/>
      <c r="N238" s="17"/>
    </row>
    <row r="239" spans="5:14">
      <c r="E239" s="17"/>
      <c r="N239" s="17"/>
    </row>
    <row r="240" spans="5:14">
      <c r="E240" s="17"/>
      <c r="N240" s="17"/>
    </row>
    <row r="241" spans="5:14">
      <c r="E241" s="17"/>
      <c r="N241" s="17"/>
    </row>
    <row r="242" spans="5:14">
      <c r="E242" s="17"/>
      <c r="N242" s="17"/>
    </row>
    <row r="243" spans="5:14">
      <c r="E243" s="17"/>
      <c r="N243" s="17"/>
    </row>
    <row r="244" spans="5:14">
      <c r="E244" s="17"/>
      <c r="N244" s="17"/>
    </row>
    <row r="245" spans="5:14">
      <c r="E245" s="17"/>
      <c r="N245" s="17"/>
    </row>
    <row r="246" spans="5:14">
      <c r="E246" s="17"/>
      <c r="N246" s="17"/>
    </row>
    <row r="247" spans="5:14">
      <c r="E247" s="17"/>
      <c r="N247" s="17"/>
    </row>
    <row r="248" spans="5:14">
      <c r="E248" s="17"/>
      <c r="N248" s="17"/>
    </row>
    <row r="249" spans="5:14">
      <c r="E249" s="17"/>
      <c r="N249" s="17"/>
    </row>
    <row r="250" spans="5:14">
      <c r="E250" s="17"/>
      <c r="N250" s="17"/>
    </row>
    <row r="251" spans="5:14">
      <c r="E251" s="17"/>
      <c r="N251" s="17"/>
    </row>
    <row r="252" spans="5:14">
      <c r="E252" s="17"/>
      <c r="N252" s="17"/>
    </row>
    <row r="253" spans="5:14">
      <c r="E253" s="17"/>
      <c r="N253" s="17"/>
    </row>
    <row r="254" spans="5:14">
      <c r="E254" s="17"/>
      <c r="N254" s="17"/>
    </row>
    <row r="255" spans="5:14">
      <c r="E255" s="17"/>
      <c r="N255" s="17"/>
    </row>
    <row r="256" spans="5:14">
      <c r="E256" s="17"/>
      <c r="N256" s="17"/>
    </row>
    <row r="257" spans="5:14">
      <c r="E257" s="17"/>
      <c r="N257" s="17"/>
    </row>
    <row r="258" spans="5:14">
      <c r="E258" s="17"/>
      <c r="N258" s="17"/>
    </row>
    <row r="259" spans="5:14">
      <c r="E259" s="17"/>
      <c r="N259" s="17"/>
    </row>
    <row r="260" spans="5:14">
      <c r="E260" s="17"/>
      <c r="N260" s="17"/>
    </row>
    <row r="261" spans="5:14">
      <c r="E261" s="17"/>
      <c r="N261" s="17"/>
    </row>
    <row r="262" spans="5:14">
      <c r="E262" s="17"/>
      <c r="N262" s="17"/>
    </row>
    <row r="263" spans="5:14">
      <c r="E263" s="17"/>
      <c r="N263" s="17"/>
    </row>
    <row r="264" spans="5:14">
      <c r="E264" s="17"/>
      <c r="N264" s="17"/>
    </row>
    <row r="265" spans="5:14">
      <c r="E265" s="17"/>
      <c r="N265" s="17"/>
    </row>
    <row r="266" spans="5:14">
      <c r="E266" s="17"/>
      <c r="N266" s="17"/>
    </row>
    <row r="267" spans="5:14">
      <c r="E267" s="17"/>
      <c r="N267" s="17"/>
    </row>
    <row r="268" spans="5:14">
      <c r="E268" s="17"/>
      <c r="N268" s="17"/>
    </row>
    <row r="269" spans="5:14">
      <c r="E269" s="17"/>
      <c r="N269" s="17"/>
    </row>
    <row r="270" spans="5:14">
      <c r="E270" s="17"/>
      <c r="N270" s="17"/>
    </row>
    <row r="271" spans="5:14">
      <c r="E271" s="17"/>
      <c r="N271" s="17"/>
    </row>
    <row r="272" spans="5:14">
      <c r="E272" s="17"/>
      <c r="N272" s="17"/>
    </row>
    <row r="273" spans="5:14">
      <c r="E273" s="17"/>
      <c r="N273" s="17"/>
    </row>
    <row r="274" spans="5:14">
      <c r="E274" s="17"/>
      <c r="N274" s="17"/>
    </row>
    <row r="275" spans="5:14">
      <c r="E275" s="17"/>
      <c r="N275" s="17"/>
    </row>
    <row r="276" spans="5:14">
      <c r="E276" s="17"/>
      <c r="N276" s="17"/>
    </row>
    <row r="277" spans="5:14">
      <c r="E277" s="17"/>
      <c r="N277" s="17"/>
    </row>
    <row r="278" spans="5:14">
      <c r="E278" s="17"/>
      <c r="N278" s="17"/>
    </row>
    <row r="279" spans="5:14">
      <c r="E279" s="17"/>
      <c r="N279" s="17"/>
    </row>
    <row r="280" spans="5:14">
      <c r="E280" s="17"/>
      <c r="N280" s="17"/>
    </row>
    <row r="281" spans="5:14">
      <c r="E281" s="17"/>
      <c r="N281" s="17"/>
    </row>
    <row r="282" spans="5:14">
      <c r="E282" s="17"/>
      <c r="N282" s="17"/>
    </row>
    <row r="283" spans="5:14">
      <c r="E283" s="17"/>
      <c r="N283" s="17"/>
    </row>
    <row r="284" spans="5:14">
      <c r="E284" s="17"/>
      <c r="N284" s="17"/>
    </row>
    <row r="285" spans="5:14">
      <c r="E285" s="17"/>
      <c r="N285" s="17"/>
    </row>
    <row r="286" spans="5:14">
      <c r="E286" s="17"/>
      <c r="N286" s="17"/>
    </row>
    <row r="287" spans="5:14">
      <c r="E287" s="17"/>
      <c r="N287" s="17"/>
    </row>
    <row r="288" spans="5:14">
      <c r="E288" s="17"/>
      <c r="N288" s="17"/>
    </row>
    <row r="289" spans="5:14">
      <c r="E289" s="17"/>
      <c r="N289" s="17"/>
    </row>
    <row r="290" spans="5:14">
      <c r="E290" s="17"/>
      <c r="N290" s="17"/>
    </row>
    <row r="291" spans="5:14">
      <c r="E291" s="17"/>
      <c r="N291" s="17"/>
    </row>
    <row r="292" spans="5:14">
      <c r="E292" s="17"/>
      <c r="N292" s="17"/>
    </row>
    <row r="293" spans="5:14">
      <c r="E293" s="17"/>
      <c r="N293" s="17"/>
    </row>
    <row r="294" spans="5:14">
      <c r="E294" s="17"/>
      <c r="N294" s="17"/>
    </row>
    <row r="295" spans="5:14">
      <c r="E295" s="17"/>
      <c r="N295" s="17"/>
    </row>
    <row r="296" spans="5:14">
      <c r="E296" s="17"/>
      <c r="N296" s="17"/>
    </row>
    <row r="297" spans="5:14">
      <c r="E297" s="17"/>
      <c r="N297" s="17"/>
    </row>
    <row r="298" spans="5:14">
      <c r="E298" s="17"/>
      <c r="N298" s="17"/>
    </row>
    <row r="299" spans="5:14">
      <c r="E299" s="17"/>
      <c r="N299" s="17"/>
    </row>
    <row r="300" spans="5:14">
      <c r="E300" s="17"/>
      <c r="N300" s="17"/>
    </row>
    <row r="301" spans="5:14">
      <c r="E301" s="17"/>
      <c r="N301" s="17"/>
    </row>
    <row r="302" spans="5:14">
      <c r="E302" s="17"/>
      <c r="N302" s="17"/>
    </row>
    <row r="303" spans="5:14">
      <c r="E303" s="17"/>
      <c r="N303" s="17"/>
    </row>
    <row r="304" spans="5:14">
      <c r="E304" s="17"/>
      <c r="N304" s="17"/>
    </row>
    <row r="305" spans="5:14">
      <c r="E305" s="17"/>
      <c r="N305" s="17"/>
    </row>
    <row r="306" spans="5:14">
      <c r="E306" s="17"/>
      <c r="N306" s="17"/>
    </row>
    <row r="307" spans="5:14">
      <c r="E307" s="17"/>
      <c r="N307" s="17"/>
    </row>
    <row r="308" spans="5:14">
      <c r="E308" s="17"/>
      <c r="N308" s="17"/>
    </row>
    <row r="309" spans="5:14">
      <c r="E309" s="17"/>
      <c r="N309" s="17"/>
    </row>
    <row r="310" spans="5:14">
      <c r="E310" s="17"/>
      <c r="N310" s="17"/>
    </row>
    <row r="311" spans="5:14">
      <c r="E311" s="17"/>
      <c r="N311" s="17"/>
    </row>
    <row r="312" spans="5:14">
      <c r="E312" s="17"/>
      <c r="N312" s="17"/>
    </row>
    <row r="313" spans="5:14">
      <c r="E313" s="17"/>
      <c r="N313" s="17"/>
    </row>
    <row r="314" spans="5:14">
      <c r="E314" s="17"/>
      <c r="N314" s="17"/>
    </row>
    <row r="315" spans="5:14">
      <c r="E315" s="17"/>
      <c r="N315" s="17"/>
    </row>
    <row r="316" spans="5:14">
      <c r="E316" s="17"/>
      <c r="N316" s="17"/>
    </row>
    <row r="317" spans="5:14">
      <c r="E317" s="17"/>
      <c r="N317" s="17"/>
    </row>
    <row r="318" spans="5:14">
      <c r="E318" s="17"/>
      <c r="N318" s="17"/>
    </row>
    <row r="319" spans="5:14">
      <c r="E319" s="17"/>
      <c r="N319" s="17"/>
    </row>
    <row r="320" spans="5:14">
      <c r="E320" s="17"/>
      <c r="N320" s="17"/>
    </row>
    <row r="321" spans="5:14">
      <c r="E321" s="17"/>
      <c r="N321" s="17"/>
    </row>
    <row r="322" spans="5:14">
      <c r="E322" s="17"/>
      <c r="N322" s="17"/>
    </row>
    <row r="323" spans="5:14">
      <c r="E323" s="17"/>
      <c r="N323" s="17"/>
    </row>
    <row r="324" spans="5:14">
      <c r="E324" s="17"/>
      <c r="N324" s="17"/>
    </row>
    <row r="325" spans="5:14">
      <c r="E325" s="17"/>
      <c r="N325" s="17"/>
    </row>
    <row r="326" spans="5:14">
      <c r="E326" s="17"/>
      <c r="N326" s="17"/>
    </row>
    <row r="327" spans="5:14">
      <c r="E327" s="17"/>
      <c r="N327" s="17"/>
    </row>
    <row r="328" spans="5:14">
      <c r="E328" s="17"/>
      <c r="N328" s="17"/>
    </row>
    <row r="329" spans="5:14">
      <c r="E329" s="17"/>
      <c r="N329" s="17"/>
    </row>
    <row r="330" spans="5:14">
      <c r="E330" s="17"/>
      <c r="N330" s="17"/>
    </row>
    <row r="331" spans="5:14">
      <c r="E331" s="17"/>
      <c r="N331" s="17"/>
    </row>
    <row r="332" spans="5:14">
      <c r="E332" s="17"/>
      <c r="N332" s="17"/>
    </row>
    <row r="333" spans="5:14">
      <c r="E333" s="17"/>
      <c r="N333" s="17"/>
    </row>
    <row r="334" spans="5:14">
      <c r="E334" s="17"/>
      <c r="N334" s="17"/>
    </row>
    <row r="335" spans="5:14">
      <c r="E335" s="17"/>
      <c r="N335" s="17"/>
    </row>
    <row r="336" spans="5:14">
      <c r="E336" s="17"/>
      <c r="N336" s="17"/>
    </row>
    <row r="337" spans="5:14">
      <c r="E337" s="17"/>
      <c r="N337" s="17"/>
    </row>
    <row r="338" spans="5:14">
      <c r="E338" s="17"/>
      <c r="N338" s="17"/>
    </row>
    <row r="339" spans="5:14">
      <c r="E339" s="17"/>
      <c r="N339" s="17"/>
    </row>
    <row r="340" spans="5:14">
      <c r="E340" s="17"/>
      <c r="N340" s="17"/>
    </row>
    <row r="341" spans="5:14">
      <c r="E341" s="17"/>
      <c r="N341" s="17"/>
    </row>
    <row r="342" spans="5:14">
      <c r="E342" s="17"/>
      <c r="N342" s="17"/>
    </row>
    <row r="343" spans="5:14">
      <c r="E343" s="17"/>
      <c r="N343" s="17"/>
    </row>
    <row r="344" spans="5:14">
      <c r="E344" s="17"/>
      <c r="N344" s="17"/>
    </row>
    <row r="345" spans="5:14">
      <c r="E345" s="17"/>
      <c r="N345" s="17"/>
    </row>
    <row r="346" spans="5:14">
      <c r="E346" s="17"/>
      <c r="N346" s="17"/>
    </row>
    <row r="347" spans="5:14">
      <c r="E347" s="17"/>
      <c r="N347" s="17"/>
    </row>
    <row r="348" spans="5:14">
      <c r="E348" s="17"/>
      <c r="N348" s="17"/>
    </row>
    <row r="349" spans="5:14">
      <c r="E349" s="17"/>
      <c r="N349" s="17"/>
    </row>
    <row r="350" spans="5:14">
      <c r="E350" s="17"/>
      <c r="N350" s="17"/>
    </row>
    <row r="351" spans="5:14">
      <c r="E351" s="17"/>
      <c r="N351" s="17"/>
    </row>
    <row r="352" spans="5:14">
      <c r="E352" s="17"/>
      <c r="N352" s="17"/>
    </row>
    <row r="353" spans="5:14">
      <c r="E353" s="17"/>
      <c r="N353" s="17"/>
    </row>
    <row r="354" spans="5:14">
      <c r="E354" s="17"/>
      <c r="N354" s="17"/>
    </row>
    <row r="355" spans="5:14">
      <c r="E355" s="17"/>
      <c r="N355" s="17"/>
    </row>
    <row r="356" spans="5:14">
      <c r="E356" s="17"/>
      <c r="N356" s="17"/>
    </row>
    <row r="357" spans="5:14">
      <c r="E357" s="17"/>
      <c r="N357" s="17"/>
    </row>
    <row r="358" spans="5:14">
      <c r="E358" s="17"/>
      <c r="N358" s="17"/>
    </row>
    <row r="359" spans="5:14">
      <c r="E359" s="17"/>
      <c r="N359" s="17"/>
    </row>
    <row r="360" spans="5:14">
      <c r="E360" s="17"/>
      <c r="N360" s="17"/>
    </row>
    <row r="361" spans="5:14">
      <c r="E361" s="17"/>
      <c r="N361" s="17"/>
    </row>
    <row r="362" spans="5:14">
      <c r="E362" s="17"/>
      <c r="N362" s="17"/>
    </row>
    <row r="363" spans="5:14">
      <c r="E363" s="17"/>
      <c r="N363" s="17"/>
    </row>
    <row r="364" spans="5:14">
      <c r="E364" s="17"/>
      <c r="N364" s="17"/>
    </row>
    <row r="365" spans="5:14">
      <c r="E365" s="17"/>
      <c r="N365" s="17"/>
    </row>
    <row r="366" spans="5:14">
      <c r="E366" s="17"/>
      <c r="N366" s="17"/>
    </row>
    <row r="367" spans="5:14">
      <c r="E367" s="17"/>
      <c r="N367" s="17"/>
    </row>
    <row r="368" spans="5:14">
      <c r="E368" s="17"/>
      <c r="N368" s="17"/>
    </row>
    <row r="369" spans="5:14">
      <c r="E369" s="17"/>
      <c r="N369" s="17"/>
    </row>
    <row r="370" spans="5:14">
      <c r="E370" s="17"/>
      <c r="N370" s="17"/>
    </row>
    <row r="371" spans="5:14">
      <c r="E371" s="17"/>
      <c r="N371" s="17"/>
    </row>
    <row r="372" spans="5:14">
      <c r="E372" s="17"/>
      <c r="N372" s="17"/>
    </row>
    <row r="373" spans="5:14">
      <c r="E373" s="17"/>
      <c r="N373" s="17"/>
    </row>
    <row r="374" spans="5:14">
      <c r="E374" s="17"/>
      <c r="N374" s="17"/>
    </row>
    <row r="375" spans="5:14">
      <c r="E375" s="17"/>
      <c r="N375" s="17"/>
    </row>
    <row r="376" spans="5:14">
      <c r="E376" s="17"/>
      <c r="N376" s="17"/>
    </row>
    <row r="377" spans="5:14">
      <c r="E377" s="17"/>
      <c r="N377" s="17"/>
    </row>
    <row r="378" spans="5:14">
      <c r="E378" s="17"/>
      <c r="N378" s="17"/>
    </row>
    <row r="379" spans="5:14">
      <c r="E379" s="17"/>
      <c r="N379" s="17"/>
    </row>
    <row r="380" spans="5:14">
      <c r="E380" s="17"/>
      <c r="N380" s="17"/>
    </row>
    <row r="381" spans="5:14">
      <c r="E381" s="17"/>
      <c r="N381" s="17"/>
    </row>
    <row r="382" spans="5:14">
      <c r="E382" s="17"/>
      <c r="N382" s="17"/>
    </row>
    <row r="383" spans="5:14">
      <c r="E383" s="17"/>
      <c r="N383" s="17"/>
    </row>
    <row r="384" spans="5:14">
      <c r="E384" s="17"/>
      <c r="N384" s="17"/>
    </row>
    <row r="385" spans="5:14">
      <c r="E385" s="17"/>
      <c r="N385" s="17"/>
    </row>
    <row r="386" spans="5:14">
      <c r="E386" s="17"/>
      <c r="N386" s="17"/>
    </row>
    <row r="387" spans="5:14">
      <c r="E387" s="17"/>
      <c r="N387" s="17"/>
    </row>
    <row r="388" spans="5:14">
      <c r="E388" s="17"/>
      <c r="N388" s="17"/>
    </row>
    <row r="389" spans="5:14">
      <c r="E389" s="17"/>
      <c r="N389" s="17"/>
    </row>
    <row r="390" spans="5:14">
      <c r="E390" s="17"/>
      <c r="N390" s="17"/>
    </row>
    <row r="391" spans="5:14">
      <c r="E391" s="17"/>
      <c r="N391" s="17"/>
    </row>
    <row r="392" spans="5:14">
      <c r="E392" s="17"/>
      <c r="N392" s="17"/>
    </row>
    <row r="393" spans="5:14">
      <c r="E393" s="17"/>
      <c r="N393" s="17"/>
    </row>
    <row r="394" spans="5:14">
      <c r="E394" s="17"/>
      <c r="N394" s="17"/>
    </row>
    <row r="395" spans="5:14">
      <c r="E395" s="17"/>
      <c r="N395" s="17"/>
    </row>
    <row r="396" spans="5:14">
      <c r="E396" s="17"/>
      <c r="N396" s="17"/>
    </row>
    <row r="397" spans="5:14">
      <c r="E397" s="17"/>
      <c r="N397" s="17"/>
    </row>
    <row r="398" spans="5:14">
      <c r="E398" s="17"/>
      <c r="N398" s="17"/>
    </row>
    <row r="399" spans="5:14">
      <c r="E399" s="17"/>
      <c r="N399" s="17"/>
    </row>
    <row r="400" spans="5:14">
      <c r="E400" s="17"/>
      <c r="N400" s="17"/>
    </row>
    <row r="401" spans="5:14">
      <c r="E401" s="17"/>
      <c r="N401" s="17"/>
    </row>
    <row r="402" spans="5:14">
      <c r="E402" s="17"/>
      <c r="N402" s="17"/>
    </row>
    <row r="403" spans="5:14">
      <c r="E403" s="17"/>
      <c r="N403" s="17"/>
    </row>
    <row r="404" spans="5:14">
      <c r="E404" s="17"/>
      <c r="N404" s="17"/>
    </row>
    <row r="405" spans="5:14">
      <c r="E405" s="17"/>
      <c r="N405" s="17"/>
    </row>
    <row r="406" spans="5:14">
      <c r="E406" s="17"/>
      <c r="N406" s="17"/>
    </row>
    <row r="407" spans="5:14">
      <c r="E407" s="17"/>
      <c r="N407" s="17"/>
    </row>
    <row r="408" spans="5:14">
      <c r="E408" s="17"/>
      <c r="N408" s="17"/>
    </row>
    <row r="409" spans="5:14">
      <c r="E409" s="17"/>
      <c r="N409" s="17"/>
    </row>
    <row r="410" spans="5:14">
      <c r="E410" s="17"/>
      <c r="N410" s="17"/>
    </row>
    <row r="411" spans="5:14">
      <c r="E411" s="17"/>
      <c r="N411" s="17"/>
    </row>
    <row r="412" spans="5:14">
      <c r="E412" s="17"/>
      <c r="N412" s="17"/>
    </row>
    <row r="413" spans="5:14">
      <c r="E413" s="17"/>
      <c r="N413" s="17"/>
    </row>
    <row r="414" spans="5:14">
      <c r="E414" s="17"/>
      <c r="N414" s="17"/>
    </row>
    <row r="415" spans="5:14">
      <c r="E415" s="17"/>
      <c r="N415" s="17"/>
    </row>
    <row r="416" spans="5:14">
      <c r="E416" s="17"/>
      <c r="N416" s="17"/>
    </row>
    <row r="417" spans="5:14">
      <c r="E417" s="17"/>
      <c r="N417" s="17"/>
    </row>
    <row r="418" spans="5:14">
      <c r="E418" s="17"/>
      <c r="N418" s="17"/>
    </row>
    <row r="419" spans="5:14">
      <c r="E419" s="17"/>
      <c r="N419" s="17"/>
    </row>
    <row r="420" spans="5:14">
      <c r="E420" s="17"/>
      <c r="N420" s="17"/>
    </row>
    <row r="421" spans="5:14">
      <c r="E421" s="17"/>
      <c r="N421" s="17"/>
    </row>
    <row r="422" spans="5:14">
      <c r="E422" s="17"/>
      <c r="N422" s="17"/>
    </row>
    <row r="423" spans="5:14">
      <c r="E423" s="17"/>
      <c r="N423" s="17"/>
    </row>
    <row r="424" spans="5:14">
      <c r="E424" s="17"/>
      <c r="N424" s="17"/>
    </row>
    <row r="425" spans="5:14">
      <c r="E425" s="17"/>
      <c r="N425" s="17"/>
    </row>
    <row r="426" spans="5:14">
      <c r="E426" s="17"/>
      <c r="N426" s="17"/>
    </row>
    <row r="427" spans="5:14">
      <c r="E427" s="17"/>
      <c r="N427" s="17"/>
    </row>
    <row r="428" spans="5:14">
      <c r="E428" s="17"/>
      <c r="N428" s="17"/>
    </row>
    <row r="429" spans="5:14">
      <c r="E429" s="17"/>
      <c r="N429" s="17"/>
    </row>
    <row r="430" spans="5:14">
      <c r="E430" s="17"/>
      <c r="N430" s="17"/>
    </row>
    <row r="431" spans="5:14">
      <c r="E431" s="17"/>
      <c r="N431" s="17"/>
    </row>
    <row r="432" spans="5:14">
      <c r="E432" s="17"/>
      <c r="N432" s="17"/>
    </row>
    <row r="433" spans="5:14">
      <c r="E433" s="17"/>
      <c r="N433" s="17"/>
    </row>
    <row r="434" spans="5:14">
      <c r="E434" s="17"/>
      <c r="N434" s="17"/>
    </row>
    <row r="435" spans="5:14">
      <c r="E435" s="17"/>
      <c r="N435" s="17"/>
    </row>
    <row r="436" spans="5:14">
      <c r="E436" s="17"/>
      <c r="N436" s="17"/>
    </row>
    <row r="437" spans="5:14">
      <c r="E437" s="17"/>
      <c r="N437" s="17"/>
    </row>
    <row r="438" spans="5:14">
      <c r="E438" s="17"/>
      <c r="N438" s="17"/>
    </row>
    <row r="439" spans="5:14">
      <c r="E439" s="17"/>
      <c r="N439" s="17"/>
    </row>
    <row r="440" spans="5:14">
      <c r="E440" s="17"/>
      <c r="N440" s="17"/>
    </row>
    <row r="441" spans="5:14">
      <c r="E441" s="17"/>
      <c r="N441" s="17"/>
    </row>
    <row r="442" spans="5:14">
      <c r="E442" s="17"/>
      <c r="N442" s="17"/>
    </row>
    <row r="443" spans="5:14">
      <c r="E443" s="17"/>
      <c r="N443" s="17"/>
    </row>
    <row r="444" spans="5:14">
      <c r="E444" s="17"/>
      <c r="N444" s="17"/>
    </row>
    <row r="445" spans="5:14">
      <c r="E445" s="17"/>
      <c r="N445" s="17"/>
    </row>
    <row r="446" spans="5:14">
      <c r="E446" s="17"/>
      <c r="N446" s="17"/>
    </row>
    <row r="447" spans="5:14">
      <c r="E447" s="17"/>
      <c r="N447" s="17"/>
    </row>
    <row r="448" spans="5:14">
      <c r="E448" s="17"/>
      <c r="N448" s="17"/>
    </row>
    <row r="449" spans="5:14">
      <c r="E449" s="17"/>
      <c r="N449" s="17"/>
    </row>
    <row r="450" spans="5:14">
      <c r="E450" s="17"/>
      <c r="N450" s="17"/>
    </row>
    <row r="451" spans="5:14">
      <c r="E451" s="17"/>
      <c r="N451" s="17"/>
    </row>
    <row r="452" spans="5:14">
      <c r="E452" s="17"/>
      <c r="N452" s="17"/>
    </row>
    <row r="453" spans="5:14">
      <c r="E453" s="17"/>
      <c r="N453" s="17"/>
    </row>
    <row r="454" spans="5:14">
      <c r="E454" s="17"/>
      <c r="N454" s="17"/>
    </row>
    <row r="455" spans="5:14">
      <c r="E455" s="17"/>
      <c r="N455" s="17"/>
    </row>
    <row r="456" spans="5:14">
      <c r="E456" s="17"/>
      <c r="N456" s="17"/>
    </row>
    <row r="457" spans="5:14">
      <c r="E457" s="17"/>
      <c r="N457" s="17"/>
    </row>
    <row r="458" spans="5:14">
      <c r="E458" s="17"/>
      <c r="N458" s="17"/>
    </row>
    <row r="459" spans="5:14">
      <c r="E459" s="17"/>
      <c r="N459" s="17"/>
    </row>
    <row r="460" spans="5:14">
      <c r="E460" s="17"/>
      <c r="N460" s="17"/>
    </row>
    <row r="461" spans="5:14">
      <c r="E461" s="17"/>
      <c r="N461" s="17"/>
    </row>
    <row r="462" spans="5:14">
      <c r="E462" s="17"/>
      <c r="N462" s="17"/>
    </row>
    <row r="463" spans="5:14">
      <c r="E463" s="17"/>
      <c r="N463" s="17"/>
    </row>
    <row r="464" spans="5:14">
      <c r="E464" s="17"/>
      <c r="N464" s="17"/>
    </row>
    <row r="465" spans="5:14">
      <c r="E465" s="17"/>
      <c r="N465" s="17"/>
    </row>
    <row r="466" spans="5:14">
      <c r="E466" s="17"/>
      <c r="N466" s="17"/>
    </row>
    <row r="467" spans="5:14">
      <c r="E467" s="17"/>
      <c r="N467" s="17"/>
    </row>
    <row r="468" spans="5:14">
      <c r="E468" s="17"/>
      <c r="N468" s="17"/>
    </row>
    <row r="469" spans="5:14">
      <c r="E469" s="17"/>
      <c r="N469" s="17"/>
    </row>
    <row r="470" spans="5:14">
      <c r="E470" s="17"/>
      <c r="N470" s="17"/>
    </row>
    <row r="471" spans="5:14">
      <c r="E471" s="17"/>
      <c r="N471" s="17"/>
    </row>
    <row r="472" spans="5:14">
      <c r="E472" s="17"/>
      <c r="N472" s="17"/>
    </row>
    <row r="473" spans="5:14">
      <c r="E473" s="17"/>
      <c r="N473" s="17"/>
    </row>
    <row r="474" spans="5:14">
      <c r="E474" s="17"/>
      <c r="N474" s="17"/>
    </row>
    <row r="475" spans="5:14">
      <c r="E475" s="17"/>
      <c r="N475" s="17"/>
    </row>
    <row r="476" spans="5:14">
      <c r="E476" s="17"/>
      <c r="N476" s="17"/>
    </row>
    <row r="477" spans="5:14">
      <c r="E477" s="17"/>
      <c r="N477" s="17"/>
    </row>
    <row r="478" spans="5:14">
      <c r="E478" s="17"/>
      <c r="N478" s="17"/>
    </row>
    <row r="479" spans="5:14">
      <c r="E479" s="17"/>
      <c r="N479" s="17"/>
    </row>
    <row r="480" spans="5:14">
      <c r="E480" s="17"/>
      <c r="N480" s="17"/>
    </row>
    <row r="481" spans="5:14">
      <c r="E481" s="17"/>
      <c r="N481" s="17"/>
    </row>
    <row r="482" spans="5:14">
      <c r="E482" s="17"/>
      <c r="N482" s="17"/>
    </row>
    <row r="483" spans="5:14">
      <c r="E483" s="17"/>
      <c r="N483" s="17"/>
    </row>
    <row r="484" spans="5:14">
      <c r="E484" s="17"/>
      <c r="N484" s="17"/>
    </row>
    <row r="485" spans="5:14">
      <c r="E485" s="17"/>
      <c r="N485" s="17"/>
    </row>
    <row r="486" spans="5:14">
      <c r="E486" s="17"/>
      <c r="N486" s="17"/>
    </row>
    <row r="487" spans="5:14">
      <c r="E487" s="17"/>
      <c r="N487" s="17"/>
    </row>
    <row r="488" spans="5:14">
      <c r="E488" s="17"/>
      <c r="N488" s="17"/>
    </row>
    <row r="489" spans="5:14">
      <c r="E489" s="17"/>
      <c r="N489" s="17"/>
    </row>
    <row r="490" spans="5:14">
      <c r="E490" s="17"/>
      <c r="N490" s="17"/>
    </row>
    <row r="491" spans="5:14">
      <c r="E491" s="17"/>
      <c r="N491" s="17"/>
    </row>
    <row r="492" spans="5:14">
      <c r="E492" s="17"/>
      <c r="N492" s="17"/>
    </row>
    <row r="493" spans="5:14">
      <c r="E493" s="17"/>
      <c r="N493" s="17"/>
    </row>
    <row r="494" spans="5:14">
      <c r="E494" s="17"/>
      <c r="N494" s="17"/>
    </row>
    <row r="495" spans="5:14">
      <c r="E495" s="17"/>
      <c r="N495" s="17"/>
    </row>
    <row r="496" spans="5:14">
      <c r="E496" s="17"/>
      <c r="N496" s="17"/>
    </row>
    <row r="497" spans="5:14">
      <c r="E497" s="17"/>
      <c r="N497" s="17"/>
    </row>
    <row r="498" spans="5:14">
      <c r="E498" s="17"/>
      <c r="N498" s="17"/>
    </row>
    <row r="499" spans="5:14">
      <c r="E499" s="17"/>
      <c r="N499" s="17"/>
    </row>
    <row r="500" spans="5:14">
      <c r="E500" s="17"/>
      <c r="N500" s="17"/>
    </row>
    <row r="501" spans="5:14">
      <c r="E501" s="17"/>
      <c r="N501" s="17"/>
    </row>
    <row r="502" spans="5:14">
      <c r="E502" s="17"/>
      <c r="N502" s="17"/>
    </row>
    <row r="503" spans="5:14">
      <c r="E503" s="17"/>
      <c r="N503" s="17"/>
    </row>
    <row r="504" spans="5:14">
      <c r="E504" s="17"/>
      <c r="N504" s="17"/>
    </row>
    <row r="505" spans="5:14">
      <c r="E505" s="17"/>
      <c r="N505" s="17"/>
    </row>
    <row r="506" spans="5:14">
      <c r="E506" s="17"/>
      <c r="N506" s="17"/>
    </row>
    <row r="507" spans="5:14">
      <c r="E507" s="17"/>
      <c r="N507" s="17"/>
    </row>
    <row r="508" spans="5:14">
      <c r="E508" s="17"/>
      <c r="N508" s="17"/>
    </row>
    <row r="509" spans="5:14">
      <c r="E509" s="17"/>
      <c r="N509" s="17"/>
    </row>
    <row r="510" spans="5:14">
      <c r="E510" s="17"/>
      <c r="N510" s="17"/>
    </row>
    <row r="511" spans="5:14">
      <c r="E511" s="17"/>
      <c r="N511" s="17"/>
    </row>
    <row r="512" spans="5:14">
      <c r="E512" s="17"/>
      <c r="N512" s="17"/>
    </row>
    <row r="513" spans="5:14">
      <c r="E513" s="17"/>
      <c r="N513" s="17"/>
    </row>
    <row r="514" spans="5:14">
      <c r="E514" s="17"/>
      <c r="N514" s="17"/>
    </row>
    <row r="515" spans="5:14">
      <c r="E515" s="17"/>
      <c r="N515" s="17"/>
    </row>
    <row r="516" spans="5:14">
      <c r="E516" s="17"/>
      <c r="N516" s="17"/>
    </row>
    <row r="517" spans="5:14">
      <c r="E517" s="17"/>
      <c r="N517" s="17"/>
    </row>
    <row r="518" spans="5:14">
      <c r="E518" s="17"/>
      <c r="N518" s="17"/>
    </row>
    <row r="519" spans="5:14">
      <c r="E519" s="17"/>
      <c r="N519" s="17"/>
    </row>
    <row r="520" spans="5:14">
      <c r="E520" s="17"/>
      <c r="N520" s="17"/>
    </row>
    <row r="521" spans="5:14">
      <c r="E521" s="17"/>
      <c r="N521" s="17"/>
    </row>
    <row r="522" spans="5:14">
      <c r="E522" s="17"/>
      <c r="N522" s="17"/>
    </row>
    <row r="523" spans="5:14">
      <c r="E523" s="17"/>
      <c r="N523" s="17"/>
    </row>
    <row r="524" spans="5:14">
      <c r="E524" s="17"/>
      <c r="N524" s="17"/>
    </row>
    <row r="525" spans="5:14">
      <c r="E525" s="17"/>
      <c r="N525" s="17"/>
    </row>
    <row r="526" spans="5:14">
      <c r="E526" s="17"/>
      <c r="N526" s="17"/>
    </row>
    <row r="527" spans="5:14">
      <c r="E527" s="17"/>
      <c r="N527" s="17"/>
    </row>
    <row r="528" spans="5:14">
      <c r="E528" s="17"/>
      <c r="N528" s="17"/>
    </row>
    <row r="529" spans="5:14">
      <c r="E529" s="17"/>
      <c r="N529" s="17"/>
    </row>
    <row r="530" spans="5:14">
      <c r="E530" s="17"/>
      <c r="N530" s="17"/>
    </row>
    <row r="531" spans="5:14">
      <c r="E531" s="17"/>
      <c r="N531" s="17"/>
    </row>
    <row r="532" spans="5:14">
      <c r="E532" s="17"/>
      <c r="N532" s="17"/>
    </row>
    <row r="533" spans="5:14">
      <c r="E533" s="17"/>
      <c r="N533" s="17"/>
    </row>
    <row r="534" spans="5:14">
      <c r="E534" s="17"/>
      <c r="N534" s="17"/>
    </row>
    <row r="535" spans="5:14">
      <c r="E535" s="17"/>
      <c r="N535" s="17"/>
    </row>
    <row r="536" spans="5:14">
      <c r="E536" s="17"/>
      <c r="N536" s="17"/>
    </row>
    <row r="537" spans="5:14">
      <c r="E537" s="17"/>
      <c r="N537" s="17"/>
    </row>
    <row r="538" spans="5:14">
      <c r="E538" s="17"/>
      <c r="N538" s="17"/>
    </row>
    <row r="539" spans="5:14">
      <c r="E539" s="17"/>
      <c r="N539" s="17"/>
    </row>
    <row r="540" spans="5:14">
      <c r="E540" s="17"/>
      <c r="N540" s="17"/>
    </row>
    <row r="541" spans="5:14">
      <c r="E541" s="17"/>
      <c r="N541" s="17"/>
    </row>
    <row r="542" spans="5:14">
      <c r="E542" s="17"/>
      <c r="N542" s="17"/>
    </row>
    <row r="543" spans="5:14">
      <c r="E543" s="17"/>
      <c r="N543" s="17"/>
    </row>
    <row r="544" spans="5:14">
      <c r="E544" s="17"/>
      <c r="N544" s="17"/>
    </row>
    <row r="545" spans="5:14">
      <c r="E545" s="17"/>
      <c r="N545" s="17"/>
    </row>
    <row r="546" spans="5:14">
      <c r="E546" s="17"/>
      <c r="N546" s="17"/>
    </row>
    <row r="547" spans="5:14">
      <c r="E547" s="17"/>
      <c r="N547" s="17"/>
    </row>
    <row r="548" spans="5:14">
      <c r="E548" s="17"/>
      <c r="N548" s="17"/>
    </row>
    <row r="549" spans="5:14">
      <c r="E549" s="17"/>
      <c r="N549" s="17"/>
    </row>
    <row r="550" spans="5:14">
      <c r="E550" s="17"/>
      <c r="N550" s="17"/>
    </row>
    <row r="551" spans="5:14">
      <c r="E551" s="17"/>
      <c r="N551" s="17"/>
    </row>
    <row r="552" spans="5:14">
      <c r="E552" s="17"/>
      <c r="N552" s="17"/>
    </row>
    <row r="553" spans="5:14">
      <c r="E553" s="17"/>
      <c r="N553" s="17"/>
    </row>
    <row r="554" spans="5:14">
      <c r="E554" s="17"/>
      <c r="N554" s="17"/>
    </row>
    <row r="555" spans="5:14">
      <c r="E555" s="17"/>
      <c r="N555" s="17"/>
    </row>
    <row r="556" spans="5:14">
      <c r="E556" s="17"/>
      <c r="N556" s="17"/>
    </row>
    <row r="557" spans="5:14">
      <c r="E557" s="17"/>
      <c r="N557" s="17"/>
    </row>
    <row r="558" spans="5:14">
      <c r="E558" s="17"/>
      <c r="N558" s="17"/>
    </row>
    <row r="559" spans="5:14">
      <c r="E559" s="17"/>
      <c r="N559" s="17"/>
    </row>
    <row r="560" spans="5:14">
      <c r="E560" s="17"/>
      <c r="N560" s="17"/>
    </row>
    <row r="561" spans="5:14">
      <c r="E561" s="17"/>
      <c r="N561" s="17"/>
    </row>
    <row r="562" spans="5:14">
      <c r="E562" s="17"/>
      <c r="N562" s="17"/>
    </row>
    <row r="563" spans="5:14">
      <c r="E563" s="17"/>
      <c r="N563" s="17"/>
    </row>
    <row r="564" spans="5:14">
      <c r="E564" s="17"/>
      <c r="N564" s="17"/>
    </row>
    <row r="565" spans="5:14">
      <c r="E565" s="17"/>
      <c r="N565" s="17"/>
    </row>
    <row r="566" spans="5:14">
      <c r="E566" s="17"/>
      <c r="N566" s="17"/>
    </row>
    <row r="567" spans="5:14">
      <c r="E567" s="17"/>
      <c r="N567" s="17"/>
    </row>
    <row r="568" spans="5:14">
      <c r="E568" s="17"/>
      <c r="N568" s="17"/>
    </row>
    <row r="569" spans="5:14">
      <c r="E569" s="17"/>
      <c r="N569" s="17"/>
    </row>
    <row r="570" spans="5:14">
      <c r="E570" s="17"/>
      <c r="N570" s="17"/>
    </row>
    <row r="571" spans="5:14">
      <c r="E571" s="17"/>
      <c r="N571" s="17"/>
    </row>
    <row r="572" spans="5:14">
      <c r="E572" s="17"/>
      <c r="N572" s="17"/>
    </row>
    <row r="573" spans="5:14">
      <c r="E573" s="17"/>
      <c r="N573" s="17"/>
    </row>
    <row r="574" spans="5:14">
      <c r="E574" s="17"/>
      <c r="N574" s="17"/>
    </row>
    <row r="575" spans="5:14">
      <c r="E575" s="17"/>
      <c r="N575" s="17"/>
    </row>
    <row r="576" spans="5:14">
      <c r="E576" s="17"/>
      <c r="N576" s="17"/>
    </row>
    <row r="577" spans="5:14">
      <c r="E577" s="17"/>
      <c r="N577" s="17"/>
    </row>
    <row r="578" spans="5:14">
      <c r="E578" s="17"/>
      <c r="N578" s="17"/>
    </row>
    <row r="579" spans="5:14">
      <c r="E579" s="17"/>
      <c r="N579" s="17"/>
    </row>
    <row r="580" spans="5:14">
      <c r="E580" s="17"/>
      <c r="N580" s="17"/>
    </row>
    <row r="581" spans="5:14">
      <c r="E581" s="17"/>
      <c r="N581" s="17"/>
    </row>
    <row r="582" spans="5:14">
      <c r="E582" s="17"/>
      <c r="N582" s="17"/>
    </row>
    <row r="583" spans="5:14">
      <c r="E583" s="17"/>
      <c r="N583" s="17"/>
    </row>
    <row r="584" spans="5:14">
      <c r="E584" s="17"/>
      <c r="N584" s="17"/>
    </row>
    <row r="585" spans="5:14">
      <c r="E585" s="17"/>
      <c r="N585" s="17"/>
    </row>
    <row r="586" spans="5:14">
      <c r="E586" s="17"/>
      <c r="N586" s="17"/>
    </row>
    <row r="587" spans="5:14">
      <c r="E587" s="17"/>
      <c r="N587" s="17"/>
    </row>
    <row r="588" spans="5:14">
      <c r="E588" s="17"/>
      <c r="N588" s="17"/>
    </row>
    <row r="589" spans="5:14">
      <c r="E589" s="17"/>
      <c r="N589" s="17"/>
    </row>
    <row r="590" spans="5:14">
      <c r="E590" s="17"/>
      <c r="N590" s="17"/>
    </row>
    <row r="591" spans="5:14">
      <c r="E591" s="17"/>
      <c r="N591" s="17"/>
    </row>
    <row r="592" spans="5:14">
      <c r="E592" s="17"/>
      <c r="N592" s="17"/>
    </row>
    <row r="593" spans="5:14">
      <c r="E593" s="17"/>
      <c r="N593" s="17"/>
    </row>
    <row r="594" spans="5:14">
      <c r="E594" s="17"/>
      <c r="N594" s="17"/>
    </row>
    <row r="595" spans="5:14">
      <c r="E595" s="17"/>
      <c r="N595" s="17"/>
    </row>
    <row r="596" spans="5:14">
      <c r="E596" s="17"/>
      <c r="N596" s="17"/>
    </row>
    <row r="597" spans="5:14">
      <c r="E597" s="17"/>
      <c r="N597" s="17"/>
    </row>
    <row r="598" spans="5:14">
      <c r="E598" s="17"/>
      <c r="N598" s="17"/>
    </row>
    <row r="599" spans="5:14">
      <c r="E599" s="17"/>
      <c r="N599" s="17"/>
    </row>
    <row r="600" spans="5:14">
      <c r="E600" s="17"/>
      <c r="N600" s="17"/>
    </row>
    <row r="601" spans="5:14">
      <c r="E601" s="17"/>
      <c r="N601" s="17"/>
    </row>
    <row r="602" spans="5:14">
      <c r="E602" s="17"/>
      <c r="N602" s="17"/>
    </row>
    <row r="603" spans="5:14">
      <c r="E603" s="17"/>
      <c r="N603" s="17"/>
    </row>
    <row r="604" spans="5:14">
      <c r="E604" s="17"/>
      <c r="N604" s="17"/>
    </row>
    <row r="605" spans="5:14">
      <c r="E605" s="17"/>
      <c r="N605" s="17"/>
    </row>
    <row r="606" spans="5:14">
      <c r="E606" s="17"/>
      <c r="N606" s="17"/>
    </row>
    <row r="607" spans="5:14">
      <c r="E607" s="17"/>
      <c r="N607" s="17"/>
    </row>
    <row r="608" spans="5:14">
      <c r="E608" s="17"/>
      <c r="N608" s="17"/>
    </row>
    <row r="609" spans="5:14">
      <c r="E609" s="17"/>
      <c r="N609" s="17"/>
    </row>
    <row r="610" spans="5:14">
      <c r="E610" s="17"/>
      <c r="N610" s="17"/>
    </row>
    <row r="611" spans="5:14">
      <c r="E611" s="17"/>
      <c r="N611" s="17"/>
    </row>
    <row r="612" spans="5:14">
      <c r="E612" s="17"/>
      <c r="N612" s="17"/>
    </row>
    <row r="613" spans="5:14">
      <c r="E613" s="17"/>
      <c r="N613" s="17"/>
    </row>
    <row r="614" spans="5:14">
      <c r="E614" s="17"/>
      <c r="N614" s="17"/>
    </row>
    <row r="615" spans="5:14">
      <c r="E615" s="17"/>
      <c r="N615" s="17"/>
    </row>
    <row r="616" spans="5:14">
      <c r="E616" s="17"/>
      <c r="N616" s="17"/>
    </row>
    <row r="617" spans="5:14">
      <c r="E617" s="17"/>
      <c r="N617" s="17"/>
    </row>
    <row r="618" spans="5:14">
      <c r="E618" s="17"/>
      <c r="N618" s="17"/>
    </row>
    <row r="619" spans="5:14">
      <c r="E619" s="17"/>
      <c r="N619" s="17"/>
    </row>
    <row r="620" spans="5:14">
      <c r="E620" s="17"/>
      <c r="N620" s="17"/>
    </row>
    <row r="621" spans="5:14">
      <c r="E621" s="17"/>
      <c r="N621" s="17"/>
    </row>
    <row r="622" spans="5:14">
      <c r="E622" s="17"/>
      <c r="N622" s="17"/>
    </row>
    <row r="623" spans="5:14">
      <c r="E623" s="17"/>
      <c r="N623" s="17"/>
    </row>
    <row r="624" spans="5:14">
      <c r="E624" s="17"/>
      <c r="N624" s="17"/>
    </row>
    <row r="625" spans="5:14">
      <c r="E625" s="17"/>
      <c r="N625" s="17"/>
    </row>
    <row r="626" spans="5:14">
      <c r="E626" s="17"/>
      <c r="N626" s="17"/>
    </row>
    <row r="627" spans="5:14">
      <c r="E627" s="17"/>
      <c r="N627" s="17"/>
    </row>
    <row r="628" spans="5:14">
      <c r="E628" s="17"/>
      <c r="N628" s="17"/>
    </row>
    <row r="629" spans="5:14">
      <c r="E629" s="17"/>
      <c r="N629" s="17"/>
    </row>
    <row r="630" spans="5:14">
      <c r="E630" s="17"/>
      <c r="N630" s="17"/>
    </row>
    <row r="631" spans="5:14">
      <c r="E631" s="17"/>
      <c r="N631" s="17"/>
    </row>
    <row r="632" spans="5:14">
      <c r="E632" s="17"/>
      <c r="N632" s="17"/>
    </row>
    <row r="633" spans="5:14">
      <c r="E633" s="17"/>
      <c r="N633" s="17"/>
    </row>
    <row r="634" spans="5:14">
      <c r="E634" s="17"/>
      <c r="N634" s="17"/>
    </row>
    <row r="635" spans="5:14">
      <c r="E635" s="17"/>
      <c r="N635" s="17"/>
    </row>
    <row r="636" spans="5:14">
      <c r="E636" s="17"/>
      <c r="N636" s="17"/>
    </row>
    <row r="637" spans="5:14">
      <c r="E637" s="17"/>
      <c r="N637" s="17"/>
    </row>
    <row r="638" spans="5:14">
      <c r="E638" s="17"/>
      <c r="N638" s="17"/>
    </row>
    <row r="639" spans="5:14">
      <c r="E639" s="17"/>
      <c r="N639" s="17"/>
    </row>
    <row r="640" spans="5:14">
      <c r="E640" s="17"/>
      <c r="N640" s="17"/>
    </row>
    <row r="641" spans="5:14">
      <c r="E641" s="17"/>
      <c r="N641" s="17"/>
    </row>
    <row r="642" spans="5:14">
      <c r="E642" s="17"/>
      <c r="N642" s="17"/>
    </row>
    <row r="643" spans="5:14">
      <c r="E643" s="17"/>
      <c r="N643" s="17"/>
    </row>
    <row r="644" spans="5:14">
      <c r="E644" s="17"/>
      <c r="N644" s="17"/>
    </row>
    <row r="645" spans="5:14">
      <c r="E645" s="17"/>
      <c r="N645" s="17"/>
    </row>
    <row r="646" spans="5:14">
      <c r="E646" s="17"/>
      <c r="N646" s="17"/>
    </row>
    <row r="647" spans="5:14">
      <c r="E647" s="17"/>
      <c r="N647" s="17"/>
    </row>
    <row r="648" spans="5:14">
      <c r="E648" s="17"/>
      <c r="N648" s="17"/>
    </row>
    <row r="649" spans="5:14">
      <c r="E649" s="17"/>
      <c r="N649" s="17"/>
    </row>
    <row r="650" spans="5:14">
      <c r="E650" s="17"/>
      <c r="N650" s="17"/>
    </row>
    <row r="651" spans="5:14">
      <c r="E651" s="17"/>
      <c r="N651" s="17"/>
    </row>
    <row r="652" spans="5:14">
      <c r="E652" s="17"/>
      <c r="N652" s="17"/>
    </row>
    <row r="653" spans="5:14">
      <c r="E653" s="17"/>
      <c r="N653" s="17"/>
    </row>
    <row r="654" spans="5:14">
      <c r="E654" s="17"/>
      <c r="N654" s="17"/>
    </row>
    <row r="655" spans="5:14">
      <c r="E655" s="17"/>
      <c r="N655" s="17"/>
    </row>
    <row r="656" spans="5:14">
      <c r="E656" s="17"/>
      <c r="N656" s="17"/>
    </row>
    <row r="657" spans="5:14">
      <c r="E657" s="17"/>
      <c r="N657" s="17"/>
    </row>
    <row r="658" spans="5:14">
      <c r="E658" s="17"/>
      <c r="N658" s="17"/>
    </row>
    <row r="659" spans="5:14">
      <c r="E659" s="17"/>
      <c r="N659" s="17"/>
    </row>
    <row r="660" spans="5:14">
      <c r="E660" s="17"/>
      <c r="N660" s="17"/>
    </row>
    <row r="661" spans="5:14">
      <c r="E661" s="17"/>
      <c r="N661" s="17"/>
    </row>
    <row r="662" spans="5:14">
      <c r="E662" s="17"/>
      <c r="N662" s="17"/>
    </row>
    <row r="663" spans="5:14">
      <c r="E663" s="17"/>
      <c r="N663" s="17"/>
    </row>
    <row r="664" spans="5:14">
      <c r="E664" s="17"/>
      <c r="N664" s="17"/>
    </row>
    <row r="665" spans="5:14">
      <c r="E665" s="17"/>
      <c r="N665" s="17"/>
    </row>
    <row r="666" spans="5:14">
      <c r="E666" s="17"/>
      <c r="N666" s="17"/>
    </row>
    <row r="667" spans="5:14">
      <c r="E667" s="17"/>
      <c r="N667" s="17"/>
    </row>
    <row r="668" spans="5:14">
      <c r="E668" s="17"/>
      <c r="N668" s="17"/>
    </row>
    <row r="669" spans="5:14">
      <c r="E669" s="17"/>
      <c r="N669" s="17"/>
    </row>
    <row r="670" spans="5:14">
      <c r="E670" s="17"/>
      <c r="N670" s="17"/>
    </row>
    <row r="671" spans="5:14">
      <c r="E671" s="17"/>
      <c r="N671" s="17"/>
    </row>
    <row r="672" spans="5:14">
      <c r="E672" s="17"/>
      <c r="N672" s="17"/>
    </row>
    <row r="673" spans="5:14">
      <c r="E673" s="17"/>
      <c r="N673" s="17"/>
    </row>
    <row r="674" spans="5:14">
      <c r="E674" s="17"/>
      <c r="N674" s="17"/>
    </row>
    <row r="675" spans="5:14">
      <c r="E675" s="17"/>
      <c r="N675" s="17"/>
    </row>
    <row r="676" spans="5:14">
      <c r="E676" s="17"/>
      <c r="N676" s="17"/>
    </row>
    <row r="677" spans="5:14">
      <c r="E677" s="17"/>
      <c r="N677" s="17"/>
    </row>
    <row r="678" spans="5:14">
      <c r="E678" s="17"/>
      <c r="N678" s="17"/>
    </row>
    <row r="679" spans="5:14">
      <c r="E679" s="17"/>
      <c r="N679" s="17"/>
    </row>
    <row r="680" spans="5:14">
      <c r="E680" s="17"/>
      <c r="N680" s="17"/>
    </row>
    <row r="681" spans="5:14">
      <c r="E681" s="17"/>
      <c r="N681" s="17"/>
    </row>
    <row r="682" spans="5:14">
      <c r="E682" s="17"/>
      <c r="N682" s="17"/>
    </row>
    <row r="683" spans="5:14">
      <c r="E683" s="17"/>
      <c r="N683" s="17"/>
    </row>
    <row r="684" spans="5:14">
      <c r="E684" s="17"/>
      <c r="N684" s="17"/>
    </row>
    <row r="685" spans="5:14">
      <c r="E685" s="17"/>
      <c r="N685" s="17"/>
    </row>
    <row r="686" spans="5:14">
      <c r="E686" s="17"/>
      <c r="N686" s="17"/>
    </row>
    <row r="687" spans="5:14">
      <c r="E687" s="17"/>
      <c r="N687" s="17"/>
    </row>
    <row r="688" spans="5:14">
      <c r="E688" s="17"/>
      <c r="N688" s="17"/>
    </row>
    <row r="689" spans="5:14">
      <c r="E689" s="17"/>
      <c r="N689" s="17"/>
    </row>
    <row r="690" spans="5:14">
      <c r="E690" s="17"/>
      <c r="N690" s="17"/>
    </row>
    <row r="691" spans="5:14">
      <c r="E691" s="17"/>
      <c r="N691" s="17"/>
    </row>
    <row r="692" spans="5:14">
      <c r="E692" s="17"/>
      <c r="N692" s="17"/>
    </row>
    <row r="693" spans="5:14">
      <c r="E693" s="17"/>
      <c r="N693" s="17"/>
    </row>
    <row r="694" spans="5:14">
      <c r="E694" s="17"/>
      <c r="N694" s="17"/>
    </row>
    <row r="695" spans="5:14">
      <c r="E695" s="17"/>
      <c r="N695" s="17"/>
    </row>
    <row r="696" spans="5:14">
      <c r="E696" s="17"/>
      <c r="N696" s="17"/>
    </row>
    <row r="697" spans="5:14">
      <c r="E697" s="17"/>
      <c r="N697" s="17"/>
    </row>
    <row r="698" spans="5:14">
      <c r="E698" s="17"/>
      <c r="N698" s="17"/>
    </row>
    <row r="699" spans="5:14">
      <c r="E699" s="17"/>
      <c r="N699" s="17"/>
    </row>
    <row r="700" spans="5:14">
      <c r="E700" s="17"/>
      <c r="N700" s="17"/>
    </row>
    <row r="701" spans="5:14">
      <c r="E701" s="17"/>
      <c r="N701" s="17"/>
    </row>
    <row r="702" spans="5:14">
      <c r="E702" s="17"/>
      <c r="N702" s="17"/>
    </row>
    <row r="703" spans="5:14">
      <c r="E703" s="17"/>
      <c r="N703" s="17"/>
    </row>
    <row r="704" spans="5:14">
      <c r="E704" s="17"/>
      <c r="N704" s="17"/>
    </row>
    <row r="705" spans="5:14">
      <c r="E705" s="17"/>
      <c r="N705" s="17"/>
    </row>
    <row r="706" spans="5:14">
      <c r="E706" s="17"/>
      <c r="N706" s="17"/>
    </row>
    <row r="707" spans="5:14">
      <c r="E707" s="17"/>
      <c r="N707" s="17"/>
    </row>
    <row r="708" spans="5:14">
      <c r="E708" s="17"/>
      <c r="N708" s="17"/>
    </row>
    <row r="709" spans="5:14">
      <c r="E709" s="17"/>
      <c r="N709" s="17"/>
    </row>
    <row r="710" spans="5:14">
      <c r="E710" s="17"/>
      <c r="N710" s="17"/>
    </row>
    <row r="711" spans="5:14">
      <c r="E711" s="17"/>
      <c r="N711" s="17"/>
    </row>
    <row r="712" spans="5:14">
      <c r="E712" s="17"/>
      <c r="N712" s="17"/>
    </row>
    <row r="713" spans="5:14">
      <c r="E713" s="17"/>
      <c r="N713" s="17"/>
    </row>
    <row r="714" spans="5:14">
      <c r="E714" s="17"/>
      <c r="N714" s="17"/>
    </row>
    <row r="715" spans="5:14">
      <c r="E715" s="17"/>
      <c r="N715" s="17"/>
    </row>
    <row r="716" spans="5:14">
      <c r="E716" s="17"/>
      <c r="N716" s="17"/>
    </row>
    <row r="717" spans="5:14">
      <c r="E717" s="17"/>
      <c r="N717" s="17"/>
    </row>
    <row r="718" spans="5:14">
      <c r="E718" s="17"/>
      <c r="N718" s="17"/>
    </row>
    <row r="719" spans="5:14">
      <c r="E719" s="17"/>
      <c r="N719" s="17"/>
    </row>
    <row r="720" spans="5:14">
      <c r="E720" s="17"/>
      <c r="N720" s="17"/>
    </row>
    <row r="721" spans="5:14">
      <c r="E721" s="17"/>
      <c r="N721" s="17"/>
    </row>
    <row r="722" spans="5:14">
      <c r="E722" s="17"/>
      <c r="N722" s="17"/>
    </row>
    <row r="723" spans="5:14">
      <c r="E723" s="17"/>
      <c r="N723" s="17"/>
    </row>
    <row r="724" spans="5:14">
      <c r="E724" s="17"/>
      <c r="N724" s="17"/>
    </row>
    <row r="725" spans="5:14">
      <c r="E725" s="17"/>
      <c r="N725" s="17"/>
    </row>
    <row r="726" spans="5:14">
      <c r="E726" s="17"/>
      <c r="N726" s="17"/>
    </row>
    <row r="727" spans="5:14">
      <c r="E727" s="17"/>
      <c r="N727" s="17"/>
    </row>
    <row r="728" spans="5:14">
      <c r="E728" s="17"/>
      <c r="N728" s="17"/>
    </row>
    <row r="729" spans="5:14">
      <c r="E729" s="17"/>
      <c r="N729" s="17"/>
    </row>
    <row r="730" spans="5:14">
      <c r="E730" s="17"/>
      <c r="N730" s="17"/>
    </row>
    <row r="731" spans="5:14">
      <c r="E731" s="17"/>
      <c r="N731" s="17"/>
    </row>
    <row r="732" spans="5:14">
      <c r="E732" s="17"/>
      <c r="N732" s="17"/>
    </row>
    <row r="733" spans="5:14">
      <c r="E733" s="17"/>
      <c r="N733" s="17"/>
    </row>
    <row r="734" spans="5:14">
      <c r="E734" s="17"/>
      <c r="N734" s="17"/>
    </row>
    <row r="735" spans="5:14">
      <c r="E735" s="17"/>
      <c r="N735" s="17"/>
    </row>
    <row r="736" spans="5:14">
      <c r="E736" s="17"/>
      <c r="N736" s="17"/>
    </row>
    <row r="737" spans="5:14">
      <c r="E737" s="17"/>
      <c r="N737" s="17"/>
    </row>
    <row r="738" spans="5:14">
      <c r="E738" s="17"/>
      <c r="N738" s="17"/>
    </row>
    <row r="739" spans="5:14">
      <c r="E739" s="17"/>
      <c r="N739" s="17"/>
    </row>
    <row r="740" spans="5:14">
      <c r="E740" s="17"/>
      <c r="N740" s="17"/>
    </row>
    <row r="741" spans="5:14">
      <c r="E741" s="17"/>
      <c r="N741" s="17"/>
    </row>
    <row r="742" spans="5:14">
      <c r="E742" s="17"/>
      <c r="N742" s="17"/>
    </row>
    <row r="743" spans="5:14">
      <c r="E743" s="17"/>
      <c r="N743" s="17"/>
    </row>
    <row r="744" spans="5:14">
      <c r="E744" s="17"/>
      <c r="N744" s="17"/>
    </row>
    <row r="745" spans="5:14">
      <c r="E745" s="17"/>
      <c r="N745" s="17"/>
    </row>
    <row r="746" spans="5:14">
      <c r="E746" s="17"/>
      <c r="N746" s="17"/>
    </row>
    <row r="747" spans="5:14">
      <c r="E747" s="17"/>
      <c r="N747" s="17"/>
    </row>
    <row r="748" spans="5:14">
      <c r="E748" s="17"/>
      <c r="N748" s="17"/>
    </row>
    <row r="749" spans="5:14">
      <c r="E749" s="17"/>
      <c r="N749" s="17"/>
    </row>
    <row r="750" spans="5:14">
      <c r="E750" s="17"/>
      <c r="N750" s="17"/>
    </row>
    <row r="751" spans="5:14">
      <c r="E751" s="17"/>
      <c r="N751" s="17"/>
    </row>
    <row r="752" spans="5:14">
      <c r="E752" s="17"/>
      <c r="N752" s="17"/>
    </row>
    <row r="753" spans="5:14">
      <c r="E753" s="17"/>
      <c r="N753" s="17"/>
    </row>
    <row r="754" spans="5:14">
      <c r="E754" s="17"/>
      <c r="N754" s="17"/>
    </row>
    <row r="755" spans="5:14">
      <c r="E755" s="17"/>
      <c r="N755" s="17"/>
    </row>
    <row r="756" spans="5:14">
      <c r="E756" s="17"/>
      <c r="N756" s="17"/>
    </row>
    <row r="757" spans="5:14">
      <c r="E757" s="17"/>
      <c r="N757" s="17"/>
    </row>
    <row r="758" spans="5:14">
      <c r="E758" s="17"/>
      <c r="N758" s="17"/>
    </row>
    <row r="759" spans="5:14">
      <c r="E759" s="17"/>
      <c r="N759" s="17"/>
    </row>
    <row r="760" spans="5:14">
      <c r="E760" s="17"/>
      <c r="N760" s="17"/>
    </row>
    <row r="761" spans="5:14">
      <c r="E761" s="17"/>
      <c r="N761" s="17"/>
    </row>
    <row r="762" spans="5:14">
      <c r="E762" s="17"/>
      <c r="N762" s="17"/>
    </row>
    <row r="763" spans="5:14">
      <c r="E763" s="17"/>
      <c r="N763" s="17"/>
    </row>
    <row r="764" spans="5:14">
      <c r="E764" s="17"/>
      <c r="N764" s="17"/>
    </row>
    <row r="765" spans="5:14">
      <c r="E765" s="17"/>
      <c r="N765" s="17"/>
    </row>
    <row r="766" spans="5:14">
      <c r="E766" s="17"/>
      <c r="N766" s="17"/>
    </row>
    <row r="767" spans="5:14">
      <c r="E767" s="17"/>
      <c r="N767" s="17"/>
    </row>
    <row r="768" spans="5:14">
      <c r="E768" s="17"/>
      <c r="N768" s="17"/>
    </row>
    <row r="769" spans="5:14">
      <c r="E769" s="17"/>
      <c r="N769" s="17"/>
    </row>
    <row r="770" spans="5:14">
      <c r="E770" s="17"/>
      <c r="N770" s="17"/>
    </row>
    <row r="771" spans="5:14">
      <c r="E771" s="17"/>
      <c r="N771" s="17"/>
    </row>
    <row r="772" spans="5:14">
      <c r="E772" s="17"/>
      <c r="N772" s="17"/>
    </row>
    <row r="773" spans="5:14">
      <c r="E773" s="17"/>
      <c r="N773" s="17"/>
    </row>
    <row r="774" spans="5:14">
      <c r="E774" s="17"/>
      <c r="N774" s="17"/>
    </row>
    <row r="775" spans="5:14">
      <c r="E775" s="17"/>
      <c r="N775" s="17"/>
    </row>
    <row r="776" spans="5:14">
      <c r="E776" s="17"/>
      <c r="N776" s="17"/>
    </row>
    <row r="777" spans="5:14">
      <c r="E777" s="17"/>
      <c r="N777" s="17"/>
    </row>
    <row r="778" spans="5:14">
      <c r="E778" s="17"/>
      <c r="N778" s="17"/>
    </row>
    <row r="779" spans="5:14">
      <c r="E779" s="17"/>
      <c r="N779" s="17"/>
    </row>
    <row r="780" spans="5:14">
      <c r="E780" s="17"/>
      <c r="N780" s="17"/>
    </row>
    <row r="781" spans="5:14">
      <c r="E781" s="17"/>
      <c r="N781" s="17"/>
    </row>
    <row r="782" spans="5:14">
      <c r="E782" s="17"/>
      <c r="N782" s="17"/>
    </row>
    <row r="783" spans="5:14">
      <c r="E783" s="17"/>
      <c r="N783" s="17"/>
    </row>
    <row r="784" spans="5:14">
      <c r="E784" s="17"/>
      <c r="N784" s="17"/>
    </row>
    <row r="785" spans="5:14">
      <c r="E785" s="17"/>
      <c r="N785" s="17"/>
    </row>
    <row r="786" spans="5:14">
      <c r="E786" s="17"/>
      <c r="N786" s="17"/>
    </row>
    <row r="787" spans="5:14">
      <c r="E787" s="17"/>
      <c r="N787" s="17"/>
    </row>
    <row r="788" spans="5:14">
      <c r="E788" s="17"/>
      <c r="N788" s="17"/>
    </row>
    <row r="789" spans="5:14">
      <c r="E789" s="17"/>
      <c r="N789" s="17"/>
    </row>
    <row r="790" spans="5:14">
      <c r="E790" s="17"/>
      <c r="N790" s="17"/>
    </row>
    <row r="791" spans="5:14">
      <c r="E791" s="17"/>
      <c r="N791" s="17"/>
    </row>
    <row r="792" spans="5:14">
      <c r="E792" s="17"/>
      <c r="N792" s="17"/>
    </row>
    <row r="793" spans="5:14">
      <c r="E793" s="17"/>
      <c r="N793" s="17"/>
    </row>
    <row r="794" spans="5:14">
      <c r="E794" s="17"/>
      <c r="N794" s="17"/>
    </row>
    <row r="795" spans="5:14">
      <c r="E795" s="17"/>
      <c r="N795" s="17"/>
    </row>
    <row r="796" spans="5:14">
      <c r="E796" s="17"/>
      <c r="N796" s="17"/>
    </row>
    <row r="797" spans="5:14">
      <c r="E797" s="17"/>
      <c r="N797" s="17"/>
    </row>
    <row r="798" spans="5:14">
      <c r="E798" s="17"/>
      <c r="N798" s="17"/>
    </row>
    <row r="799" spans="5:14">
      <c r="E799" s="17"/>
      <c r="N799" s="17"/>
    </row>
    <row r="800" spans="5:14">
      <c r="E800" s="17"/>
      <c r="N800" s="17"/>
    </row>
    <row r="801" spans="5:14">
      <c r="E801" s="17"/>
      <c r="N801" s="17"/>
    </row>
    <row r="802" spans="5:14">
      <c r="E802" s="17"/>
      <c r="N802" s="17"/>
    </row>
    <row r="803" spans="5:14">
      <c r="E803" s="17"/>
      <c r="N803" s="17"/>
    </row>
    <row r="804" spans="5:14">
      <c r="E804" s="17"/>
      <c r="N804" s="17"/>
    </row>
    <row r="805" spans="5:14">
      <c r="E805" s="17"/>
      <c r="N805" s="17"/>
    </row>
    <row r="806" spans="5:14">
      <c r="E806" s="17"/>
      <c r="N806" s="17"/>
    </row>
    <row r="807" spans="5:14">
      <c r="E807" s="17"/>
      <c r="N807" s="17"/>
    </row>
    <row r="808" spans="5:14">
      <c r="E808" s="17"/>
      <c r="N808" s="17"/>
    </row>
    <row r="809" spans="5:14">
      <c r="E809" s="17"/>
      <c r="N809" s="17"/>
    </row>
    <row r="810" spans="5:14">
      <c r="E810" s="17"/>
      <c r="N810" s="17"/>
    </row>
    <row r="811" spans="5:14">
      <c r="E811" s="17"/>
      <c r="N811" s="17"/>
    </row>
    <row r="812" spans="5:14">
      <c r="E812" s="17"/>
      <c r="N812" s="17"/>
    </row>
    <row r="813" spans="5:14">
      <c r="E813" s="17"/>
      <c r="N813" s="17"/>
    </row>
    <row r="814" spans="5:14">
      <c r="E814" s="17"/>
      <c r="N814" s="17"/>
    </row>
    <row r="815" spans="5:14">
      <c r="E815" s="17"/>
      <c r="N815" s="17"/>
    </row>
    <row r="816" spans="5:14">
      <c r="E816" s="17"/>
      <c r="N816" s="17"/>
    </row>
    <row r="817" spans="5:14">
      <c r="E817" s="17"/>
      <c r="N817" s="17"/>
    </row>
    <row r="818" spans="5:14">
      <c r="E818" s="17"/>
      <c r="N818" s="17"/>
    </row>
    <row r="819" spans="5:14">
      <c r="E819" s="17"/>
      <c r="N819" s="17"/>
    </row>
    <row r="820" spans="5:14">
      <c r="E820" s="17"/>
      <c r="N820" s="17"/>
    </row>
    <row r="821" spans="5:14">
      <c r="E821" s="17"/>
      <c r="N821" s="17"/>
    </row>
    <row r="822" spans="5:14">
      <c r="E822" s="17"/>
      <c r="N822" s="17"/>
    </row>
    <row r="823" spans="5:14">
      <c r="E823" s="17"/>
      <c r="N823" s="17"/>
    </row>
    <row r="824" spans="5:14">
      <c r="E824" s="17"/>
      <c r="N824" s="17"/>
    </row>
    <row r="825" spans="5:14">
      <c r="E825" s="17"/>
      <c r="N825" s="17"/>
    </row>
    <row r="826" spans="5:14">
      <c r="E826" s="17"/>
      <c r="N826" s="17"/>
    </row>
    <row r="827" spans="5:14">
      <c r="E827" s="17"/>
      <c r="N827" s="17"/>
    </row>
    <row r="828" spans="5:14">
      <c r="E828" s="17"/>
      <c r="N828" s="17"/>
    </row>
    <row r="829" spans="5:14">
      <c r="E829" s="17"/>
      <c r="N829" s="17"/>
    </row>
    <row r="830" spans="5:14">
      <c r="E830" s="17"/>
      <c r="N830" s="17"/>
    </row>
    <row r="831" spans="5:14">
      <c r="E831" s="17"/>
      <c r="N831" s="17"/>
    </row>
    <row r="832" spans="5:14">
      <c r="E832" s="17"/>
      <c r="N832" s="17"/>
    </row>
    <row r="833" spans="5:14">
      <c r="E833" s="17"/>
      <c r="N833" s="17"/>
    </row>
    <row r="834" spans="5:14">
      <c r="E834" s="17"/>
      <c r="N834" s="17"/>
    </row>
    <row r="835" spans="5:14">
      <c r="E835" s="17"/>
      <c r="N835" s="17"/>
    </row>
    <row r="836" spans="5:14">
      <c r="E836" s="17"/>
      <c r="N836" s="17"/>
    </row>
    <row r="837" spans="5:14">
      <c r="E837" s="17"/>
      <c r="N837" s="17"/>
    </row>
    <row r="838" spans="5:14">
      <c r="E838" s="17"/>
      <c r="N838" s="17"/>
    </row>
    <row r="839" spans="5:14">
      <c r="E839" s="17"/>
      <c r="N839" s="17"/>
    </row>
    <row r="840" spans="5:14">
      <c r="E840" s="17"/>
      <c r="N840" s="17"/>
    </row>
    <row r="841" spans="5:14">
      <c r="E841" s="17"/>
      <c r="N841" s="17"/>
    </row>
    <row r="842" spans="5:14">
      <c r="E842" s="17"/>
      <c r="N842" s="17"/>
    </row>
    <row r="843" spans="5:14">
      <c r="E843" s="17"/>
      <c r="N843" s="17"/>
    </row>
    <row r="844" spans="5:14">
      <c r="E844" s="17"/>
      <c r="N844" s="17"/>
    </row>
    <row r="845" spans="5:14">
      <c r="E845" s="17"/>
      <c r="N845" s="17"/>
    </row>
    <row r="846" spans="5:14">
      <c r="E846" s="17"/>
      <c r="N846" s="17"/>
    </row>
    <row r="847" spans="5:14">
      <c r="E847" s="17"/>
      <c r="N847" s="17"/>
    </row>
    <row r="848" spans="5:14">
      <c r="E848" s="17"/>
      <c r="N848" s="17"/>
    </row>
    <row r="849" spans="5:14">
      <c r="E849" s="17"/>
      <c r="N849" s="17"/>
    </row>
    <row r="850" spans="5:14">
      <c r="E850" s="17"/>
      <c r="N850" s="17"/>
    </row>
    <row r="851" spans="5:14">
      <c r="E851" s="17"/>
      <c r="N851" s="17"/>
    </row>
    <row r="852" spans="5:14">
      <c r="E852" s="17"/>
      <c r="N852" s="17"/>
    </row>
    <row r="853" spans="5:14">
      <c r="E853" s="17"/>
      <c r="N853" s="17"/>
    </row>
    <row r="854" spans="5:14">
      <c r="E854" s="17"/>
      <c r="N854" s="17"/>
    </row>
    <row r="855" spans="5:14">
      <c r="E855" s="17"/>
      <c r="N855" s="17"/>
    </row>
    <row r="856" spans="5:14">
      <c r="E856" s="17"/>
      <c r="N856" s="17"/>
    </row>
    <row r="857" spans="5:14">
      <c r="E857" s="17"/>
      <c r="N857" s="17"/>
    </row>
    <row r="858" spans="5:14">
      <c r="E858" s="17"/>
      <c r="N858" s="17"/>
    </row>
    <row r="859" spans="5:14">
      <c r="E859" s="17"/>
      <c r="N859" s="17"/>
    </row>
    <row r="860" spans="5:14">
      <c r="E860" s="17"/>
      <c r="N860" s="17"/>
    </row>
    <row r="861" spans="5:14">
      <c r="E861" s="17"/>
      <c r="N861" s="17"/>
    </row>
    <row r="862" spans="5:14">
      <c r="E862" s="17"/>
      <c r="N862" s="17"/>
    </row>
    <row r="863" spans="5:14">
      <c r="E863" s="17"/>
      <c r="N863" s="17"/>
    </row>
    <row r="864" spans="5:14">
      <c r="E864" s="17"/>
      <c r="N864" s="17"/>
    </row>
    <row r="865" spans="5:14">
      <c r="E865" s="17"/>
      <c r="N865" s="17"/>
    </row>
    <row r="866" spans="5:14">
      <c r="E866" s="17"/>
      <c r="N866" s="17"/>
    </row>
    <row r="867" spans="5:14">
      <c r="E867" s="17"/>
      <c r="N867" s="17"/>
    </row>
    <row r="868" spans="5:14">
      <c r="E868" s="17"/>
      <c r="N868" s="17"/>
    </row>
    <row r="869" spans="5:14">
      <c r="E869" s="17"/>
      <c r="N869" s="17"/>
    </row>
    <row r="870" spans="5:14">
      <c r="E870" s="17"/>
      <c r="N870" s="17"/>
    </row>
    <row r="871" spans="5:14">
      <c r="E871" s="17"/>
      <c r="N871" s="17"/>
    </row>
    <row r="872" spans="5:14">
      <c r="E872" s="17"/>
      <c r="N872" s="17"/>
    </row>
    <row r="873" spans="5:14">
      <c r="E873" s="17"/>
      <c r="N873" s="17"/>
    </row>
    <row r="874" spans="5:14">
      <c r="E874" s="17"/>
      <c r="N874" s="17"/>
    </row>
    <row r="875" spans="5:14">
      <c r="E875" s="17"/>
      <c r="N875" s="17"/>
    </row>
    <row r="876" spans="5:14">
      <c r="E876" s="17"/>
      <c r="N876" s="17"/>
    </row>
    <row r="877" spans="5:14">
      <c r="E877" s="17"/>
      <c r="N877" s="17"/>
    </row>
    <row r="878" spans="5:14">
      <c r="E878" s="17"/>
      <c r="N878" s="17"/>
    </row>
    <row r="879" spans="5:14">
      <c r="E879" s="17"/>
      <c r="N879" s="17"/>
    </row>
    <row r="880" spans="5:14">
      <c r="E880" s="17"/>
      <c r="N880" s="17"/>
    </row>
    <row r="881" spans="5:14">
      <c r="E881" s="17"/>
      <c r="N881" s="17"/>
    </row>
    <row r="882" spans="5:14">
      <c r="E882" s="17"/>
      <c r="N882" s="17"/>
    </row>
    <row r="883" spans="5:14">
      <c r="E883" s="17"/>
      <c r="N883" s="17"/>
    </row>
    <row r="884" spans="5:14">
      <c r="E884" s="17"/>
      <c r="N884" s="17"/>
    </row>
    <row r="885" spans="5:14">
      <c r="E885" s="17"/>
      <c r="N885" s="17"/>
    </row>
    <row r="886" spans="5:14">
      <c r="E886" s="17"/>
      <c r="N886" s="17"/>
    </row>
    <row r="887" spans="5:14">
      <c r="E887" s="17"/>
      <c r="N887" s="17"/>
    </row>
    <row r="888" spans="5:14">
      <c r="E888" s="17"/>
      <c r="N888" s="17"/>
    </row>
    <row r="889" spans="5:14">
      <c r="E889" s="17"/>
      <c r="N889" s="17"/>
    </row>
    <row r="890" spans="5:14">
      <c r="E890" s="17"/>
      <c r="N890" s="17"/>
    </row>
    <row r="891" spans="5:14">
      <c r="E891" s="17"/>
      <c r="N891" s="17"/>
    </row>
    <row r="892" spans="5:14">
      <c r="E892" s="17"/>
      <c r="N892" s="17"/>
    </row>
    <row r="893" spans="5:14">
      <c r="E893" s="17"/>
      <c r="N893" s="17"/>
    </row>
    <row r="894" spans="5:14">
      <c r="E894" s="17"/>
      <c r="N894" s="17"/>
    </row>
    <row r="895" spans="5:14">
      <c r="E895" s="17"/>
      <c r="N895" s="17"/>
    </row>
    <row r="896" spans="5:14">
      <c r="E896" s="17"/>
      <c r="N896" s="17"/>
    </row>
    <row r="897" spans="5:14">
      <c r="E897" s="17"/>
      <c r="N897" s="17"/>
    </row>
    <row r="898" spans="5:14">
      <c r="E898" s="17"/>
      <c r="N898" s="17"/>
    </row>
    <row r="899" spans="5:14">
      <c r="E899" s="17"/>
      <c r="N899" s="17"/>
    </row>
    <row r="900" spans="5:14">
      <c r="E900" s="17"/>
      <c r="N900" s="17"/>
    </row>
    <row r="901" spans="5:14">
      <c r="E901" s="17"/>
      <c r="N901" s="17"/>
    </row>
    <row r="902" spans="5:14">
      <c r="E902" s="17"/>
      <c r="N902" s="17"/>
    </row>
    <row r="903" spans="5:14">
      <c r="E903" s="17"/>
      <c r="N903" s="17"/>
    </row>
    <row r="904" spans="5:14">
      <c r="E904" s="17"/>
      <c r="N904" s="17"/>
    </row>
    <row r="905" spans="5:14">
      <c r="E905" s="17"/>
      <c r="N905" s="17"/>
    </row>
    <row r="906" spans="5:14">
      <c r="E906" s="17"/>
      <c r="N906" s="17"/>
    </row>
    <row r="907" spans="5:14">
      <c r="E907" s="17"/>
      <c r="N907" s="17"/>
    </row>
    <row r="908" spans="5:14">
      <c r="E908" s="17"/>
      <c r="N908" s="17"/>
    </row>
    <row r="909" spans="5:14">
      <c r="E909" s="17"/>
      <c r="N909" s="17"/>
    </row>
    <row r="910" spans="5:14">
      <c r="E910" s="17"/>
      <c r="N910" s="17"/>
    </row>
    <row r="911" spans="5:14">
      <c r="E911" s="17"/>
      <c r="N911" s="17"/>
    </row>
    <row r="912" spans="5:14">
      <c r="E912" s="17"/>
      <c r="N912" s="17"/>
    </row>
    <row r="913" spans="5:14">
      <c r="E913" s="17"/>
      <c r="N913" s="17"/>
    </row>
    <row r="914" spans="5:14">
      <c r="E914" s="17"/>
      <c r="N914" s="17"/>
    </row>
    <row r="915" spans="5:14">
      <c r="E915" s="17"/>
      <c r="N915" s="17"/>
    </row>
    <row r="916" spans="5:14">
      <c r="E916" s="17"/>
      <c r="N916" s="17"/>
    </row>
    <row r="917" spans="5:14">
      <c r="E917" s="17"/>
      <c r="N917" s="17"/>
    </row>
    <row r="918" spans="5:14">
      <c r="E918" s="17"/>
      <c r="N918" s="17"/>
    </row>
    <row r="919" spans="5:14">
      <c r="E919" s="17"/>
      <c r="N919" s="17"/>
    </row>
    <row r="920" spans="5:14">
      <c r="E920" s="17"/>
      <c r="N920" s="17"/>
    </row>
    <row r="921" spans="5:14">
      <c r="E921" s="17"/>
      <c r="N921" s="17"/>
    </row>
    <row r="922" spans="5:14">
      <c r="E922" s="17"/>
      <c r="N922" s="17"/>
    </row>
    <row r="923" spans="5:14">
      <c r="E923" s="17"/>
      <c r="N923" s="17"/>
    </row>
    <row r="924" spans="5:14">
      <c r="E924" s="17"/>
      <c r="N924" s="17"/>
    </row>
    <row r="925" spans="5:14">
      <c r="E925" s="17"/>
      <c r="N925" s="17"/>
    </row>
    <row r="926" spans="5:14">
      <c r="E926" s="17"/>
      <c r="N926" s="17"/>
    </row>
    <row r="927" spans="5:14">
      <c r="E927" s="17"/>
      <c r="N927" s="17"/>
    </row>
    <row r="928" spans="5:14">
      <c r="E928" s="17"/>
      <c r="N928" s="17"/>
    </row>
    <row r="929" spans="5:14">
      <c r="E929" s="17"/>
      <c r="N929" s="17"/>
    </row>
    <row r="930" spans="5:14">
      <c r="E930" s="17"/>
      <c r="N930" s="17"/>
    </row>
    <row r="931" spans="5:14">
      <c r="E931" s="17"/>
      <c r="N931" s="17"/>
    </row>
    <row r="932" spans="5:14">
      <c r="E932" s="17"/>
      <c r="N932" s="17"/>
    </row>
    <row r="933" spans="5:14">
      <c r="E933" s="17"/>
      <c r="N933" s="17"/>
    </row>
    <row r="934" spans="5:14">
      <c r="E934" s="17"/>
      <c r="N934" s="17"/>
    </row>
    <row r="935" spans="5:14">
      <c r="E935" s="17"/>
      <c r="N935" s="17"/>
    </row>
    <row r="936" spans="5:14">
      <c r="E936" s="17"/>
      <c r="N936" s="17"/>
    </row>
    <row r="937" spans="5:14">
      <c r="E937" s="17"/>
      <c r="N937" s="17"/>
    </row>
    <row r="938" spans="5:14">
      <c r="E938" s="17"/>
      <c r="N938" s="17"/>
    </row>
    <row r="939" spans="5:14">
      <c r="E939" s="17"/>
      <c r="N939" s="17"/>
    </row>
    <row r="940" spans="5:14">
      <c r="E940" s="17"/>
      <c r="N940" s="17"/>
    </row>
    <row r="941" spans="5:14">
      <c r="E941" s="17"/>
      <c r="N941" s="17"/>
    </row>
    <row r="942" spans="5:14">
      <c r="E942" s="17"/>
      <c r="N942" s="17"/>
    </row>
    <row r="943" spans="5:14">
      <c r="E943" s="17"/>
      <c r="N943" s="17"/>
    </row>
    <row r="944" spans="5:14">
      <c r="E944" s="17"/>
      <c r="N944" s="17"/>
    </row>
    <row r="945" spans="5:14">
      <c r="E945" s="17"/>
      <c r="N945" s="17"/>
    </row>
    <row r="946" spans="5:14">
      <c r="E946" s="17"/>
      <c r="N946" s="17"/>
    </row>
    <row r="947" spans="5:14">
      <c r="E947" s="17"/>
      <c r="N947" s="17"/>
    </row>
    <row r="948" spans="5:14">
      <c r="E948" s="17"/>
      <c r="N948" s="17"/>
    </row>
    <row r="949" spans="5:14">
      <c r="E949" s="17"/>
      <c r="N949" s="17"/>
    </row>
    <row r="950" spans="5:14">
      <c r="E950" s="17"/>
      <c r="N950" s="17"/>
    </row>
    <row r="951" spans="5:14">
      <c r="E951" s="17"/>
      <c r="N951" s="17"/>
    </row>
    <row r="952" spans="5:14">
      <c r="E952" s="17"/>
      <c r="N952" s="17"/>
    </row>
    <row r="953" spans="5:14">
      <c r="E953" s="17"/>
      <c r="N953" s="17"/>
    </row>
    <row r="954" spans="5:14">
      <c r="E954" s="17"/>
      <c r="N954" s="17"/>
    </row>
    <row r="955" spans="5:14">
      <c r="E955" s="17"/>
      <c r="N955" s="17"/>
    </row>
    <row r="956" spans="5:14">
      <c r="E956" s="17"/>
      <c r="N956" s="17"/>
    </row>
    <row r="957" spans="5:14">
      <c r="E957" s="17"/>
      <c r="N957" s="17"/>
    </row>
    <row r="958" spans="5:14">
      <c r="E958" s="17"/>
      <c r="N958" s="17"/>
    </row>
    <row r="959" spans="5:14">
      <c r="E959" s="17"/>
      <c r="N959" s="17"/>
    </row>
    <row r="960" spans="5:14">
      <c r="E960" s="17"/>
      <c r="N960" s="17"/>
    </row>
    <row r="961" spans="5:14">
      <c r="E961" s="17"/>
      <c r="N961" s="17"/>
    </row>
    <row r="962" spans="5:14">
      <c r="E962" s="17"/>
      <c r="N962" s="17"/>
    </row>
    <row r="963" spans="5:14">
      <c r="E963" s="17"/>
      <c r="N963" s="17"/>
    </row>
    <row r="964" spans="5:14">
      <c r="E964" s="17"/>
      <c r="N964" s="17"/>
    </row>
    <row r="965" spans="5:14">
      <c r="E965" s="17"/>
      <c r="N965" s="17"/>
    </row>
    <row r="966" spans="5:14">
      <c r="E966" s="17"/>
      <c r="N966" s="17"/>
    </row>
    <row r="967" spans="5:14">
      <c r="E967" s="17"/>
      <c r="N967" s="17"/>
    </row>
    <row r="968" spans="5:14">
      <c r="E968" s="17"/>
      <c r="N968" s="17"/>
    </row>
    <row r="969" spans="5:14">
      <c r="E969" s="17"/>
      <c r="N969" s="17"/>
    </row>
    <row r="970" spans="5:14">
      <c r="E970" s="17"/>
      <c r="N970" s="17"/>
    </row>
    <row r="971" spans="5:14">
      <c r="E971" s="17"/>
      <c r="N971" s="17"/>
    </row>
    <row r="972" spans="5:14">
      <c r="E972" s="17"/>
      <c r="N972" s="17"/>
    </row>
    <row r="973" spans="5:14">
      <c r="E973" s="17"/>
      <c r="N973" s="17"/>
    </row>
    <row r="974" spans="5:14">
      <c r="E974" s="17"/>
      <c r="N974" s="17"/>
    </row>
    <row r="975" spans="5:14">
      <c r="E975" s="17"/>
      <c r="N975" s="17"/>
    </row>
    <row r="976" spans="5:14">
      <c r="E976" s="17"/>
      <c r="N976" s="17"/>
    </row>
    <row r="977" spans="5:14">
      <c r="E977" s="17"/>
      <c r="N977" s="17"/>
    </row>
    <row r="978" spans="5:14">
      <c r="E978" s="17"/>
      <c r="N978" s="17"/>
    </row>
    <row r="979" spans="5:14">
      <c r="E979" s="17"/>
      <c r="N979" s="17"/>
    </row>
    <row r="980" spans="5:14">
      <c r="E980" s="17"/>
      <c r="N980" s="17"/>
    </row>
    <row r="981" spans="5:14">
      <c r="E981" s="17"/>
      <c r="N981" s="17"/>
    </row>
    <row r="982" spans="5:14">
      <c r="E982" s="17"/>
      <c r="N982" s="17"/>
    </row>
    <row r="983" spans="5:14">
      <c r="E983" s="17"/>
      <c r="N983" s="17"/>
    </row>
    <row r="984" spans="5:14">
      <c r="E984" s="17"/>
      <c r="N984" s="17"/>
    </row>
    <row r="985" spans="5:14">
      <c r="E985" s="17"/>
      <c r="N985" s="17"/>
    </row>
    <row r="986" spans="5:14">
      <c r="E986" s="17"/>
      <c r="N986" s="17"/>
    </row>
    <row r="987" spans="5:14">
      <c r="E987" s="17"/>
      <c r="N987" s="17"/>
    </row>
    <row r="988" spans="5:14">
      <c r="E988" s="17"/>
      <c r="N988" s="17"/>
    </row>
    <row r="989" spans="5:14">
      <c r="E989" s="17"/>
      <c r="N989" s="17"/>
    </row>
    <row r="990" spans="5:14">
      <c r="E990" s="17"/>
      <c r="N990" s="17"/>
    </row>
    <row r="991" spans="5:14">
      <c r="E991" s="17"/>
      <c r="N991" s="17"/>
    </row>
    <row r="992" spans="5:14">
      <c r="E992" s="17"/>
      <c r="N992" s="17"/>
    </row>
    <row r="993" spans="5:14">
      <c r="E993" s="17"/>
      <c r="N993" s="17"/>
    </row>
    <row r="994" spans="5:14">
      <c r="E994" s="17"/>
      <c r="N994" s="17"/>
    </row>
    <row r="995" spans="5:14">
      <c r="E995" s="17"/>
      <c r="N995" s="17"/>
    </row>
    <row r="996" spans="5:14">
      <c r="E996" s="17"/>
      <c r="N996" s="17"/>
    </row>
    <row r="997" spans="5:14">
      <c r="E997" s="17"/>
      <c r="N997" s="17"/>
    </row>
    <row r="998" spans="5:14">
      <c r="E998" s="17"/>
      <c r="N998" s="17"/>
    </row>
    <row r="999" spans="5:14">
      <c r="E999" s="17"/>
      <c r="N999" s="17"/>
    </row>
    <row r="1000" spans="5:14">
      <c r="E1000" s="17"/>
      <c r="N1000" s="17"/>
    </row>
    <row r="1001" spans="5:14">
      <c r="E1001" s="17"/>
      <c r="N1001" s="17"/>
    </row>
  </sheetData>
  <mergeCells count="1">
    <mergeCell ref="A1:O1"/>
  </mergeCells>
  <conditionalFormatting sqref="H3:H1001">
    <cfRule type="expression" dxfId="97" priority="4">
      <formula>AND($F3&gt;0,$H3/$F3&lt;=0.1)</formula>
    </cfRule>
  </conditionalFormatting>
  <dataValidations count="5">
    <dataValidation type="list" allowBlank="1" showInputMessage="1" showErrorMessage="1" sqref="C3:C1001" xr:uid="{C4F0E517-DFCD-48CE-B0A7-D66A1AB62AF4}">
      <formula1>LicenseCategories</formula1>
    </dataValidation>
    <dataValidation type="list" allowBlank="1" showInputMessage="1" showErrorMessage="1" sqref="D3:D1001" xr:uid="{E81C688A-2D49-499E-B8BA-6855688CD007}">
      <formula1>LicenseTypes</formula1>
    </dataValidation>
    <dataValidation type="list" allowBlank="1" showInputMessage="1" showErrorMessage="1" sqref="I3:I1001" xr:uid="{A5E87EC1-6639-4D57-8D92-C2D972ABFC97}">
      <formula1>RenewalTypes</formula1>
    </dataValidation>
    <dataValidation type="list" allowBlank="1" showInputMessage="1" showErrorMessage="1" sqref="J3:J1001" xr:uid="{3E704BD7-D5D5-4E67-9107-20369600DAEF}">
      <formula1>BillingCycles</formula1>
    </dataValidation>
    <dataValidation type="list" allowBlank="1" showInputMessage="1" showErrorMessage="1" errorTitle="Invalid Status" error="Select a status from the dropdown list." promptTitle="License Status" prompt="Select the current license status." sqref="N4:N14" xr:uid="{F4F80D2D-8980-4BA7-B05B-9BA412A37664}">
      <formula1>"Active,Renew Soon,Expired,No Expiry"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5570F-EC5C-4EB6-A8E3-7BA4806618DA}">
  <sheetPr>
    <tabColor rgb="FF2F75B5"/>
  </sheetPr>
  <dimension ref="A1:U119"/>
  <sheetViews>
    <sheetView showGridLines="0" topLeftCell="D1" workbookViewId="0">
      <pane ySplit="13" topLeftCell="A65" activePane="bottomLeft" state="frozen"/>
      <selection pane="bottomLeft" activeCell="K4" sqref="K4"/>
    </sheetView>
  </sheetViews>
  <sheetFormatPr defaultRowHeight="16.8"/>
  <cols>
    <col min="1" max="1" width="37.8984375" bestFit="1" customWidth="1"/>
    <col min="2" max="2" width="12.5" customWidth="1"/>
    <col min="3" max="3" width="23" bestFit="1" customWidth="1"/>
    <col min="4" max="4" width="34" bestFit="1" customWidth="1"/>
    <col min="5" max="5" width="17.5" bestFit="1" customWidth="1"/>
    <col min="6" max="6" width="14.69921875" bestFit="1" customWidth="1"/>
    <col min="7" max="7" width="14.59765625" bestFit="1" customWidth="1"/>
    <col min="8" max="8" width="15.3984375" bestFit="1" customWidth="1"/>
    <col min="9" max="9" width="12.8984375" bestFit="1" customWidth="1"/>
    <col min="10" max="10" width="17.59765625" bestFit="1" customWidth="1"/>
    <col min="11" max="11" width="12.3984375" bestFit="1" customWidth="1"/>
    <col min="12" max="12" width="8" bestFit="1" customWidth="1"/>
    <col min="13" max="13" width="7.8984375" bestFit="1" customWidth="1"/>
    <col min="14" max="14" width="7.5" bestFit="1" customWidth="1"/>
    <col min="15" max="15" width="13.09765625" style="2" bestFit="1" customWidth="1"/>
    <col min="16" max="16" width="13.09765625" bestFit="1" customWidth="1"/>
    <col min="17" max="17" width="7.5" style="2" bestFit="1" customWidth="1"/>
    <col min="18" max="18" width="13.09765625" bestFit="1" customWidth="1"/>
  </cols>
  <sheetData>
    <row r="1" spans="1:21" ht="23.4">
      <c r="A1" s="63" t="s">
        <v>81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</row>
    <row r="2" spans="1:2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1"/>
      <c r="P2" s="19"/>
      <c r="Q2" s="21"/>
      <c r="R2" s="19"/>
    </row>
    <row r="3" spans="1:21">
      <c r="A3" s="64" t="s">
        <v>90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</row>
    <row r="4" spans="1:21" ht="27.6" customHeight="1">
      <c r="A4" s="19" t="s">
        <v>2</v>
      </c>
      <c r="B4" s="21" t="s">
        <v>6</v>
      </c>
      <c r="C4" s="19" t="s">
        <v>10</v>
      </c>
      <c r="D4" s="19" t="s">
        <v>11</v>
      </c>
      <c r="E4" s="19" t="s">
        <v>7</v>
      </c>
      <c r="F4" s="19" t="s">
        <v>8</v>
      </c>
      <c r="G4" s="19" t="s">
        <v>9</v>
      </c>
      <c r="H4" s="19" t="s">
        <v>13</v>
      </c>
      <c r="I4" s="19" t="s">
        <v>14</v>
      </c>
      <c r="J4" s="19" t="s">
        <v>15</v>
      </c>
      <c r="K4" s="19" t="s">
        <v>17</v>
      </c>
      <c r="L4" s="19" t="s">
        <v>18</v>
      </c>
      <c r="M4" s="19" t="s">
        <v>20</v>
      </c>
      <c r="N4" s="21" t="s">
        <v>21</v>
      </c>
      <c r="O4" s="19" t="s">
        <v>22</v>
      </c>
      <c r="Q4"/>
    </row>
    <row r="5" spans="1:21">
      <c r="A5" s="19" t="s">
        <v>77</v>
      </c>
      <c r="B5" s="36" t="str">
        <f>_xlfn.LET(_xlpm.x,_xlfn.XLOOKUP(tblMicrosoftLicenses[[#This Row],[Product / Service]],tblLicenses[Product / Service],tblLicenses[License Key / Contract Ref],""),IF(_xlpm.x=0,"",_xlpm.x))</f>
        <v/>
      </c>
      <c r="C5" s="28"/>
      <c r="D5" s="28"/>
      <c r="E5" s="19">
        <f>_xlfn.XLOOKUP(tblMicrosoftLicenses[[#This Row],[Product / Service]],tblLicenses[Product / Service],tblLicenses[Total Seats],0)</f>
        <v>73</v>
      </c>
      <c r="F5" s="19">
        <f>COUNTIFS(tblMicrosoftAssignments[Product / Service],tblMicrosoftLicenses[[#This Row],[Product / Service]],tblMicrosoftAssignments[Assignment Status],"Assigned")</f>
        <v>73</v>
      </c>
      <c r="G5" s="19">
        <f>MAX(0,tblMicrosoftLicenses[[#This Row],[Total Seats]]-tblMicrosoftLicenses[[#This Row],[Assigned Seats]])</f>
        <v>0</v>
      </c>
      <c r="H5" s="19" t="str">
        <f>_xlfn.LET(_xlpm.x,_xlfn.XLOOKUP(tblMicrosoftLicenses[[#This Row],[Product / Service]],tblLicenses[Product / Service],tblLicenses[Renewal Type],""),IF(_xlpm.x=0,"",_xlpm.x))</f>
        <v>Manual</v>
      </c>
      <c r="I5" s="19" t="str">
        <f>_xlfn.LET(_xlpm.x,_xlfn.XLOOKUP(tblMicrosoftLicenses[[#This Row],[Product / Service]],tblLicenses[Product / Service],tblLicenses[Billing Cycle],""),IF(_xlpm.x=0,"",_xlpm.x))</f>
        <v>Annual</v>
      </c>
      <c r="J5" s="20">
        <f>_xlfn.XLOOKUP(tblMicrosoftLicenses[[#This Row],[Product / Service]],tblLicenses[Product / Service],tblLicenses[Unit Cost],0)</f>
        <v>3120</v>
      </c>
      <c r="K5" s="20">
        <f>_xlfn.XLOOKUP(tblMicrosoftLicenses[[#This Row],[Product / Service]],tblLicenses[Product / Service],tblLicenses[Annual Cost],0)</f>
        <v>227760</v>
      </c>
      <c r="L5" s="19" t="str">
        <f>_xlfn.LET(_xlpm.x,_xlfn.XLOOKUP(tblMicrosoftLicenses[[#This Row],[Product / Service]],tblLicenses[Product / Service],tblLicenses[Owner],""),IF(_xlpm.x=0,"",_xlpm.x))</f>
        <v>IT Admin</v>
      </c>
      <c r="M5" s="19" t="str">
        <f>_xlfn.XLOOKUP(tblMicrosoftLicenses[[#This Row],[Product / Service]],tblLicenses[Product / Service],tblLicenses[Status],"")</f>
        <v>Active</v>
      </c>
      <c r="N5" s="21" t="str">
        <f>_xlfn.LET(_xlpm.x,_xlfn.XLOOKUP(tblMicrosoftLicenses[[#This Row],[Product / Service]],tblLicenses[Product / Service],tblLicenses[Notes],""),IF(_xlpm.x=0,"",_xlpm.x))</f>
        <v/>
      </c>
      <c r="O5" s="28">
        <f ca="1">_xlfn.XLOOKUP(tblMicrosoftLicenses[[#This Row],[Product / Service]],tblLicenses[Product / Service],tblLicenses[Last Updated],"")</f>
        <v>46279</v>
      </c>
      <c r="Q5"/>
    </row>
    <row r="6" spans="1:21">
      <c r="A6" s="19" t="s">
        <v>73</v>
      </c>
      <c r="B6" s="36" t="str">
        <f>_xlfn.LET(_xlpm.x,_xlfn.XLOOKUP(tblMicrosoftLicenses[[#This Row],[Product / Service]],tblLicenses[Product / Service],tblLicenses[License Key / Contract Ref],""),IF(_xlpm.x=0,"",_xlpm.x))</f>
        <v/>
      </c>
      <c r="C6" s="28"/>
      <c r="D6" s="28"/>
      <c r="E6" s="19">
        <f>_xlfn.XLOOKUP(tblMicrosoftLicenses[[#This Row],[Product / Service]],tblLicenses[Product / Service],tblLicenses[Total Seats],0)</f>
        <v>4</v>
      </c>
      <c r="F6" s="19">
        <f>COUNTIFS(tblMicrosoftAssignments[Product / Service],tblMicrosoftLicenses[[#This Row],[Product / Service]],tblMicrosoftAssignments[Assignment Status],"Assigned")</f>
        <v>4</v>
      </c>
      <c r="G6" s="19">
        <f>MAX(0,tblMicrosoftLicenses[[#This Row],[Total Seats]]-tblMicrosoftLicenses[[#This Row],[Assigned Seats]])</f>
        <v>0</v>
      </c>
      <c r="H6" s="19" t="str">
        <f>_xlfn.LET(_xlpm.x,_xlfn.XLOOKUP(tblMicrosoftLicenses[[#This Row],[Product / Service]],tblLicenses[Product / Service],tblLicenses[Renewal Type],""),IF(_xlpm.x=0,"",_xlpm.x))</f>
        <v>Manual</v>
      </c>
      <c r="I6" s="19" t="str">
        <f>_xlfn.LET(_xlpm.x,_xlfn.XLOOKUP(tblMicrosoftLicenses[[#This Row],[Product / Service]],tblLicenses[Product / Service],tblLicenses[Billing Cycle],""),IF(_xlpm.x=0,"",_xlpm.x))</f>
        <v>Annual</v>
      </c>
      <c r="J6" s="20">
        <f>_xlfn.XLOOKUP(tblMicrosoftLicenses[[#This Row],[Product / Service]],tblLicenses[Product / Service],tblLicenses[Unit Cost],0)</f>
        <v>4737</v>
      </c>
      <c r="K6" s="20">
        <f>_xlfn.XLOOKUP(tblMicrosoftLicenses[[#This Row],[Product / Service]],tblLicenses[Product / Service],tblLicenses[Annual Cost],0)</f>
        <v>18948</v>
      </c>
      <c r="L6" s="19" t="str">
        <f>_xlfn.LET(_xlpm.x,_xlfn.XLOOKUP(tblMicrosoftLicenses[[#This Row],[Product / Service]],tblLicenses[Product / Service],tblLicenses[Owner],""),IF(_xlpm.x=0,"",_xlpm.x))</f>
        <v>IT Admin</v>
      </c>
      <c r="M6" s="19" t="str">
        <f>_xlfn.XLOOKUP(tblMicrosoftLicenses[[#This Row],[Product / Service]],tblLicenses[Product / Service],tblLicenses[Status],"")</f>
        <v>Active</v>
      </c>
      <c r="N6" s="21" t="str">
        <f>_xlfn.LET(_xlpm.x,_xlfn.XLOOKUP(tblMicrosoftLicenses[[#This Row],[Product / Service]],tblLicenses[Product / Service],tblLicenses[Notes],""),IF(_xlpm.x=0,"",_xlpm.x))</f>
        <v/>
      </c>
      <c r="O6" s="28">
        <f ca="1">_xlfn.XLOOKUP(tblMicrosoftLicenses[[#This Row],[Product / Service]],tblLicenses[Product / Service],tblLicenses[Last Updated],"")</f>
        <v>46279</v>
      </c>
      <c r="Q6"/>
    </row>
    <row r="7" spans="1:21">
      <c r="A7" s="19" t="s">
        <v>78</v>
      </c>
      <c r="B7" s="36" t="str">
        <f>_xlfn.LET(_xlpm.x,_xlfn.XLOOKUP(tblMicrosoftLicenses[[#This Row],[Product / Service]],tblLicenses[Product / Service],tblLicenses[License Key / Contract Ref],""),IF(_xlpm.x=0,"",_xlpm.x))</f>
        <v/>
      </c>
      <c r="C7" s="28"/>
      <c r="D7" s="28"/>
      <c r="E7" s="19">
        <f>_xlfn.XLOOKUP(tblMicrosoftLicenses[[#This Row],[Product / Service]],tblLicenses[Product / Service],tblLicenses[Total Seats],0)</f>
        <v>24</v>
      </c>
      <c r="F7" s="19">
        <f>COUNTIFS(tblMicrosoftAssignments[Product / Service],tblMicrosoftLicenses[[#This Row],[Product / Service]],tblMicrosoftAssignments[Assignment Status],"Assigned")</f>
        <v>23</v>
      </c>
      <c r="G7" s="19">
        <f>MAX(0,tblMicrosoftLicenses[[#This Row],[Total Seats]]-tblMicrosoftLicenses[[#This Row],[Assigned Seats]])</f>
        <v>1</v>
      </c>
      <c r="H7" s="19" t="str">
        <f>_xlfn.LET(_xlpm.x,_xlfn.XLOOKUP(tblMicrosoftLicenses[[#This Row],[Product / Service]],tblLicenses[Product / Service],tblLicenses[Renewal Type],""),IF(_xlpm.x=0,"",_xlpm.x))</f>
        <v>Manual</v>
      </c>
      <c r="I7" s="19" t="str">
        <f>_xlfn.LET(_xlpm.x,_xlfn.XLOOKUP(tblMicrosoftLicenses[[#This Row],[Product / Service]],tblLicenses[Product / Service],tblLicenses[Billing Cycle],""),IF(_xlpm.x=0,"",_xlpm.x))</f>
        <v>Annual</v>
      </c>
      <c r="J7" s="20">
        <f>_xlfn.XLOOKUP(tblMicrosoftLicenses[[#This Row],[Product / Service]],tblLicenses[Product / Service],tblLicenses[Unit Cost],0)</f>
        <v>10560</v>
      </c>
      <c r="K7" s="20">
        <f>_xlfn.XLOOKUP(tblMicrosoftLicenses[[#This Row],[Product / Service]],tblLicenses[Product / Service],tblLicenses[Annual Cost],0)</f>
        <v>253440</v>
      </c>
      <c r="L7" s="19" t="str">
        <f>_xlfn.LET(_xlpm.x,_xlfn.XLOOKUP(tblMicrosoftLicenses[[#This Row],[Product / Service]],tblLicenses[Product / Service],tblLicenses[Owner],""),IF(_xlpm.x=0,"",_xlpm.x))</f>
        <v>IT Admin</v>
      </c>
      <c r="M7" s="19" t="str">
        <f>_xlfn.XLOOKUP(tblMicrosoftLicenses[[#This Row],[Product / Service]],tblLicenses[Product / Service],tblLicenses[Status],"")</f>
        <v>Active</v>
      </c>
      <c r="N7" s="21" t="str">
        <f>_xlfn.LET(_xlpm.x,_xlfn.XLOOKUP(tblMicrosoftLicenses[[#This Row],[Product / Service]],tblLicenses[Product / Service],tblLicenses[Notes],""),IF(_xlpm.x=0,"",_xlpm.x))</f>
        <v/>
      </c>
      <c r="O7" s="28">
        <f ca="1">_xlfn.XLOOKUP(tblMicrosoftLicenses[[#This Row],[Product / Service]],tblLicenses[Product / Service],tblLicenses[Last Updated],"")</f>
        <v>46279</v>
      </c>
      <c r="Q7"/>
    </row>
    <row r="8" spans="1:21">
      <c r="A8" s="19" t="s">
        <v>79</v>
      </c>
      <c r="B8" s="36" t="str">
        <f>_xlfn.LET(_xlpm.x,_xlfn.XLOOKUP(tblMicrosoftLicenses[[#This Row],[Product / Service]],tblLicenses[Product / Service],tblLicenses[License Key / Contract Ref],""),IF(_xlpm.x=0,"",_xlpm.x))</f>
        <v/>
      </c>
      <c r="C8" s="28"/>
      <c r="D8" s="28"/>
      <c r="E8" s="19">
        <f>_xlfn.XLOOKUP(tblMicrosoftLicenses[[#This Row],[Product / Service]],tblLicenses[Product / Service],tblLicenses[Total Seats],0)</f>
        <v>1</v>
      </c>
      <c r="F8" s="19">
        <f>COUNTIFS(tblMicrosoftAssignments[Product / Service],tblMicrosoftLicenses[[#This Row],[Product / Service]],tblMicrosoftAssignments[Assignment Status],"Assigned")</f>
        <v>1</v>
      </c>
      <c r="G8" s="19">
        <f>MAX(0,tblMicrosoftLicenses[[#This Row],[Total Seats]]-tblMicrosoftLicenses[[#This Row],[Assigned Seats]])</f>
        <v>0</v>
      </c>
      <c r="H8" s="19" t="str">
        <f>_xlfn.LET(_xlpm.x,_xlfn.XLOOKUP(tblMicrosoftLicenses[[#This Row],[Product / Service]],tblLicenses[Product / Service],tblLicenses[Renewal Type],""),IF(_xlpm.x=0,"",_xlpm.x))</f>
        <v>Manual</v>
      </c>
      <c r="I8" s="19" t="str">
        <f>_xlfn.LET(_xlpm.x,_xlfn.XLOOKUP(tblMicrosoftLicenses[[#This Row],[Product / Service]],tblLicenses[Product / Service],tblLicenses[Billing Cycle],""),IF(_xlpm.x=0,"",_xlpm.x))</f>
        <v>Annual</v>
      </c>
      <c r="J8" s="20">
        <f>_xlfn.XLOOKUP(tblMicrosoftLicenses[[#This Row],[Product / Service]],tblLicenses[Product / Service],tblLicenses[Unit Cost],0)</f>
        <v>3650</v>
      </c>
      <c r="K8" s="20">
        <f>_xlfn.XLOOKUP(tblMicrosoftLicenses[[#This Row],[Product / Service]],tblLicenses[Product / Service],tblLicenses[Annual Cost],0)</f>
        <v>3650</v>
      </c>
      <c r="L8" s="19" t="str">
        <f>_xlfn.LET(_xlpm.x,_xlfn.XLOOKUP(tblMicrosoftLicenses[[#This Row],[Product / Service]],tblLicenses[Product / Service],tblLicenses[Owner],""),IF(_xlpm.x=0,"",_xlpm.x))</f>
        <v>IT Admin</v>
      </c>
      <c r="M8" s="19" t="str">
        <f>_xlfn.XLOOKUP(tblMicrosoftLicenses[[#This Row],[Product / Service]],tblLicenses[Product / Service],tblLicenses[Status],"")</f>
        <v>Active</v>
      </c>
      <c r="N8" s="21" t="str">
        <f>_xlfn.LET(_xlpm.x,_xlfn.XLOOKUP(tblMicrosoftLicenses[[#This Row],[Product / Service]],tblLicenses[Product / Service],tblLicenses[Notes],""),IF(_xlpm.x=0,"",_xlpm.x))</f>
        <v/>
      </c>
      <c r="O8" s="28">
        <f ca="1">_xlfn.XLOOKUP(tblMicrosoftLicenses[[#This Row],[Product / Service]],tblLicenses[Product / Service],tblLicenses[Last Updated],"")</f>
        <v>46279</v>
      </c>
      <c r="Q8"/>
    </row>
    <row r="9" spans="1:21">
      <c r="A9" s="19" t="s">
        <v>80</v>
      </c>
      <c r="B9" s="36" t="str">
        <f>_xlfn.LET(_xlpm.x,_xlfn.XLOOKUP(tblMicrosoftLicenses[[#This Row],[Product / Service]],tblLicenses[Product / Service],tblLicenses[License Key / Contract Ref],""),IF(_xlpm.x=0,"",_xlpm.x))</f>
        <v/>
      </c>
      <c r="C9" s="28"/>
      <c r="D9" s="28"/>
      <c r="E9" s="19">
        <f>_xlfn.XLOOKUP(tblMicrosoftLicenses[[#This Row],[Product / Service]],tblLicenses[Product / Service],tblLicenses[Total Seats],0)</f>
        <v>1</v>
      </c>
      <c r="F9" s="19">
        <f>COUNTIFS(tblMicrosoftAssignments[Product / Service],tblMicrosoftLicenses[[#This Row],[Product / Service]],tblMicrosoftAssignments[Assignment Status],"Assigned")</f>
        <v>1</v>
      </c>
      <c r="G9" s="19">
        <f>MAX(0,tblMicrosoftLicenses[[#This Row],[Total Seats]]-tblMicrosoftLicenses[[#This Row],[Assigned Seats]])</f>
        <v>0</v>
      </c>
      <c r="H9" s="19" t="str">
        <f>_xlfn.LET(_xlpm.x,_xlfn.XLOOKUP(tblMicrosoftLicenses[[#This Row],[Product / Service]],tblLicenses[Product / Service],tblLicenses[Renewal Type],""),IF(_xlpm.x=0,"",_xlpm.x))</f>
        <v>Manual</v>
      </c>
      <c r="I9" s="19" t="str">
        <f>_xlfn.LET(_xlpm.x,_xlfn.XLOOKUP(tblMicrosoftLicenses[[#This Row],[Product / Service]],tblLicenses[Product / Service],tblLicenses[Billing Cycle],""),IF(_xlpm.x=0,"",_xlpm.x))</f>
        <v>Annual</v>
      </c>
      <c r="J9" s="20">
        <f>_xlfn.XLOOKUP(tblMicrosoftLicenses[[#This Row],[Product / Service]],tblLicenses[Product / Service],tblLicenses[Unit Cost],0)</f>
        <v>2920</v>
      </c>
      <c r="K9" s="20">
        <f>_xlfn.XLOOKUP(tblMicrosoftLicenses[[#This Row],[Product / Service]],tblLicenses[Product / Service],tblLicenses[Annual Cost],0)</f>
        <v>2920</v>
      </c>
      <c r="L9" s="19" t="str">
        <f>_xlfn.LET(_xlpm.x,_xlfn.XLOOKUP(tblMicrosoftLicenses[[#This Row],[Product / Service]],tblLicenses[Product / Service],tblLicenses[Owner],""),IF(_xlpm.x=0,"",_xlpm.x))</f>
        <v>IT Admin</v>
      </c>
      <c r="M9" s="19" t="str">
        <f>_xlfn.XLOOKUP(tblMicrosoftLicenses[[#This Row],[Product / Service]],tblLicenses[Product / Service],tblLicenses[Status],"")</f>
        <v>Active</v>
      </c>
      <c r="N9" s="21" t="str">
        <f>_xlfn.LET(_xlpm.x,_xlfn.XLOOKUP(tblMicrosoftLicenses[[#This Row],[Product / Service]],tblLicenses[Product / Service],tblLicenses[Notes],""),IF(_xlpm.x=0,"",_xlpm.x))</f>
        <v/>
      </c>
      <c r="O9" s="28">
        <f ca="1">_xlfn.XLOOKUP(tblMicrosoftLicenses[[#This Row],[Product / Service]],tblLicenses[Product / Service],tblLicenses[Last Updated],"")</f>
        <v>46279</v>
      </c>
      <c r="Q9"/>
    </row>
    <row r="10" spans="1:21">
      <c r="A10" s="19" t="s">
        <v>91</v>
      </c>
      <c r="B10" s="36" t="str">
        <f>_xlfn.LET(_xlpm.x,_xlfn.XLOOKUP(tblMicrosoftLicenses[[#This Row],[Product / Service]],tblLicenses[Product / Service],tblLicenses[License Key / Contract Ref],""),IF(_xlpm.x=0,"",_xlpm.x))</f>
        <v/>
      </c>
      <c r="C10" s="28"/>
      <c r="D10" s="28"/>
      <c r="E10" s="19">
        <f>_xlfn.XLOOKUP(tblMicrosoftLicenses[[#This Row],[Product / Service]],tblLicenses[Product / Service],tblLicenses[Total Seats],0)</f>
        <v>1</v>
      </c>
      <c r="F10" s="19">
        <f>COUNTIFS(tblMicrosoftAssignments[Product / Service],tblMicrosoftLicenses[[#This Row],[Product / Service]],tblMicrosoftAssignments[Assignment Status],"Assigned")</f>
        <v>1</v>
      </c>
      <c r="G10" s="19">
        <f>MAX(0,tblMicrosoftLicenses[[#This Row],[Total Seats]]-tblMicrosoftLicenses[[#This Row],[Assigned Seats]])</f>
        <v>0</v>
      </c>
      <c r="H10" s="19" t="str">
        <f>_xlfn.LET(_xlpm.x,_xlfn.XLOOKUP(tblMicrosoftLicenses[[#This Row],[Product / Service]],tblLicenses[Product / Service],tblLicenses[Renewal Type],""),IF(_xlpm.x=0,"",_xlpm.x))</f>
        <v>No Renewal</v>
      </c>
      <c r="I10" s="19" t="str">
        <f>_xlfn.LET(_xlpm.x,_xlfn.XLOOKUP(tblMicrosoftLicenses[[#This Row],[Product / Service]],tblLicenses[Product / Service],tblLicenses[Billing Cycle],""),IF(_xlpm.x=0,"",_xlpm.x))</f>
        <v>One-time</v>
      </c>
      <c r="J10" s="20">
        <f>_xlfn.XLOOKUP(tblMicrosoftLicenses[[#This Row],[Product / Service]],tblLicenses[Product / Service],tblLicenses[Unit Cost],0)</f>
        <v>37000</v>
      </c>
      <c r="K10" s="20">
        <f>_xlfn.XLOOKUP(tblMicrosoftLicenses[[#This Row],[Product / Service]],tblLicenses[Product / Service],tblLicenses[Annual Cost],0)</f>
        <v>37000</v>
      </c>
      <c r="L10" s="19" t="str">
        <f>_xlfn.LET(_xlpm.x,_xlfn.XLOOKUP(tblMicrosoftLicenses[[#This Row],[Product / Service]],tblLicenses[Product / Service],tblLicenses[Owner],""),IF(_xlpm.x=0,"",_xlpm.x))</f>
        <v>Project</v>
      </c>
      <c r="M10" s="19" t="str">
        <f>_xlfn.XLOOKUP(tblMicrosoftLicenses[[#This Row],[Product / Service]],tblLicenses[Product / Service],tblLicenses[Status],"")</f>
        <v>Active</v>
      </c>
      <c r="N10" s="21" t="str">
        <f>_xlfn.LET(_xlpm.x,_xlfn.XLOOKUP(tblMicrosoftLicenses[[#This Row],[Product / Service]],tblLicenses[Product / Service],tblLicenses[Notes],""),IF(_xlpm.x=0,"",_xlpm.x))</f>
        <v/>
      </c>
      <c r="O10" s="28">
        <f ca="1">_xlfn.XLOOKUP(tblMicrosoftLicenses[[#This Row],[Product / Service]],tblLicenses[Product / Service],tblLicenses[Last Updated],"")</f>
        <v>46279</v>
      </c>
      <c r="P10" s="21"/>
      <c r="Q10" s="19"/>
    </row>
    <row r="11" spans="1:21">
      <c r="A11" s="50" t="s">
        <v>284</v>
      </c>
      <c r="B11" s="51"/>
      <c r="C11" s="50"/>
      <c r="D11" s="50"/>
      <c r="E11" s="50"/>
      <c r="F11" s="50"/>
      <c r="G11" s="50"/>
      <c r="H11" s="50"/>
      <c r="I11" s="50"/>
      <c r="J11" s="52">
        <f>SUBTOTAL(109,tblMicrosoftLicenses[Unit Cost])</f>
        <v>61987</v>
      </c>
      <c r="K11" s="52">
        <f>SUBTOTAL(109,tblMicrosoftLicenses[Annual Cost])</f>
        <v>543718</v>
      </c>
      <c r="L11" s="50"/>
      <c r="M11" s="50"/>
      <c r="N11" s="53"/>
      <c r="O11" s="50">
        <f ca="1">SUBTOTAL(103,tblMicrosoftLicenses[Last Updated])</f>
        <v>6</v>
      </c>
      <c r="P11" s="21"/>
      <c r="Q11" s="19"/>
    </row>
    <row r="12" spans="1:21" s="32" customFormat="1">
      <c r="A12" s="19"/>
      <c r="B12" s="36"/>
      <c r="C12" s="28"/>
      <c r="D12" s="28"/>
      <c r="E12" s="19"/>
      <c r="F12" s="19"/>
      <c r="G12" s="19"/>
      <c r="H12" s="19"/>
      <c r="I12" s="19"/>
      <c r="J12" s="20"/>
      <c r="K12" s="20"/>
      <c r="L12" s="19"/>
      <c r="M12" s="19"/>
      <c r="N12" s="21"/>
      <c r="O12" s="28"/>
      <c r="P12" s="30"/>
      <c r="Q12" s="31"/>
      <c r="R12" s="30"/>
    </row>
    <row r="13" spans="1:21">
      <c r="A13" s="64" t="s">
        <v>99</v>
      </c>
      <c r="B13" s="64"/>
      <c r="C13" s="64"/>
      <c r="D13" s="64"/>
      <c r="E13" s="64"/>
      <c r="F13" s="64"/>
      <c r="G13" s="64"/>
      <c r="H13" s="64"/>
      <c r="I13" s="30"/>
      <c r="J13" s="30"/>
      <c r="K13" s="30"/>
      <c r="L13" s="30"/>
      <c r="M13" s="30"/>
      <c r="N13" s="30"/>
      <c r="O13" s="31"/>
      <c r="P13" s="19"/>
      <c r="Q13" s="19"/>
      <c r="R13" s="21"/>
      <c r="S13" s="19"/>
      <c r="T13" s="21"/>
      <c r="U13" s="19"/>
    </row>
    <row r="14" spans="1:21">
      <c r="A14" s="19" t="s">
        <v>2</v>
      </c>
      <c r="B14" s="19" t="s">
        <v>59</v>
      </c>
      <c r="C14" s="19" t="s">
        <v>60</v>
      </c>
      <c r="D14" s="19" t="s">
        <v>82</v>
      </c>
      <c r="E14" s="19" t="s">
        <v>61</v>
      </c>
      <c r="F14" s="19" t="s">
        <v>62</v>
      </c>
      <c r="G14" s="19" t="s">
        <v>12</v>
      </c>
      <c r="H14" s="19" t="s">
        <v>282</v>
      </c>
      <c r="I14" s="19" t="s">
        <v>98</v>
      </c>
      <c r="J14" s="19" t="s">
        <v>63</v>
      </c>
      <c r="K14" s="19" t="s">
        <v>21</v>
      </c>
      <c r="L14" s="19"/>
      <c r="M14" s="19"/>
      <c r="N14" s="19"/>
      <c r="O14" s="19"/>
      <c r="P14" s="19"/>
      <c r="Q14" s="19"/>
      <c r="R14" s="21"/>
      <c r="S14" s="19"/>
      <c r="T14" s="21"/>
      <c r="U14" s="19"/>
    </row>
    <row r="15" spans="1:21">
      <c r="A15" s="19" t="s">
        <v>80</v>
      </c>
      <c r="B15" s="19">
        <v>1</v>
      </c>
      <c r="C15" s="19" t="s">
        <v>127</v>
      </c>
      <c r="D15" s="19" t="s">
        <v>151</v>
      </c>
      <c r="E15" s="19"/>
      <c r="F15" s="28">
        <v>45722</v>
      </c>
      <c r="G15" s="28">
        <v>46567</v>
      </c>
      <c r="H15" s="48">
        <f ca="1">IF(tblMicrosoftAssignments[[#This Row],[Expiry Date]]="","",tblMicrosoftAssignments[[#This Row],[Expiry Date]]-TODAY())</f>
        <v>288</v>
      </c>
      <c r="I15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15" s="19" t="str">
        <f>IF(tblMicrosoftAssignments[[#This Row],[User Name]]="","Unassigned","Assigned")</f>
        <v>Assigned</v>
      </c>
      <c r="K15" s="19"/>
      <c r="L15" s="19"/>
      <c r="M15" s="19"/>
      <c r="N15" s="19"/>
      <c r="O15" s="19"/>
      <c r="P15" s="19"/>
      <c r="Q15" s="19"/>
      <c r="R15" s="21"/>
      <c r="S15" s="19"/>
      <c r="T15" s="21"/>
      <c r="U15" s="19"/>
    </row>
    <row r="16" spans="1:21">
      <c r="A16" s="19" t="s">
        <v>79</v>
      </c>
      <c r="B16" s="19">
        <v>1</v>
      </c>
      <c r="C16" t="s">
        <v>174</v>
      </c>
      <c r="D16" s="33" t="s">
        <v>173</v>
      </c>
      <c r="E16" s="19"/>
      <c r="F16" s="28">
        <v>44767</v>
      </c>
      <c r="G16" s="28">
        <v>46592</v>
      </c>
      <c r="H16" s="48">
        <f ca="1">IF(tblMicrosoftAssignments[[#This Row],[Expiry Date]]="","",tblMicrosoftAssignments[[#This Row],[Expiry Date]]-TODAY())</f>
        <v>313</v>
      </c>
      <c r="I16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16" s="19" t="str">
        <f>IF(tblMicrosoftAssignments[[#This Row],[User Name]]="","Unassigned","Assigned")</f>
        <v>Assigned</v>
      </c>
      <c r="K16" s="19"/>
      <c r="L16" s="19"/>
      <c r="M16" s="19"/>
      <c r="N16" s="19"/>
      <c r="O16" s="19"/>
      <c r="P16" s="19"/>
      <c r="Q16" s="19"/>
      <c r="R16" s="21"/>
      <c r="S16" s="19"/>
      <c r="T16" s="21"/>
      <c r="U16" s="19"/>
    </row>
    <row r="17" spans="1:21">
      <c r="A17" s="19" t="s">
        <v>77</v>
      </c>
      <c r="B17" s="19">
        <v>1</v>
      </c>
      <c r="C17" t="s">
        <v>174</v>
      </c>
      <c r="D17" s="33" t="s">
        <v>173</v>
      </c>
      <c r="E17" s="19"/>
      <c r="F17" s="37">
        <v>44767</v>
      </c>
      <c r="G17" s="28">
        <v>46567</v>
      </c>
      <c r="H17" s="48">
        <f ca="1">IF(tblMicrosoftAssignments[[#This Row],[Expiry Date]]="","",tblMicrosoftAssignments[[#This Row],[Expiry Date]]-TODAY())</f>
        <v>288</v>
      </c>
      <c r="I17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17" s="19" t="str">
        <f>IF(tblMicrosoftAssignments[[#This Row],[User Name]]="","Unassigned","Assigned")</f>
        <v>Assigned</v>
      </c>
      <c r="K17" s="19"/>
      <c r="L17" s="19"/>
      <c r="M17" s="19"/>
      <c r="N17" s="19"/>
      <c r="O17" s="19"/>
      <c r="P17" s="19"/>
      <c r="Q17" s="19"/>
      <c r="R17" s="21"/>
      <c r="S17" s="19"/>
      <c r="T17" s="21"/>
      <c r="U17" s="19"/>
    </row>
    <row r="18" spans="1:21">
      <c r="A18" s="19" t="s">
        <v>77</v>
      </c>
      <c r="B18" s="19">
        <v>2</v>
      </c>
      <c r="C18" t="s">
        <v>123</v>
      </c>
      <c r="D18" t="s">
        <v>147</v>
      </c>
      <c r="E18" s="19"/>
      <c r="F18" s="37">
        <v>45722</v>
      </c>
      <c r="G18" s="28">
        <v>46567</v>
      </c>
      <c r="H18" s="48">
        <f ca="1">IF(tblMicrosoftAssignments[[#This Row],[Expiry Date]]="","",tblMicrosoftAssignments[[#This Row],[Expiry Date]]-TODAY())</f>
        <v>288</v>
      </c>
      <c r="I18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18" s="19" t="str">
        <f>IF(tblMicrosoftAssignments[[#This Row],[User Name]]="","Unassigned","Assigned")</f>
        <v>Assigned</v>
      </c>
      <c r="K18" s="19"/>
      <c r="L18" s="19"/>
      <c r="M18" s="19"/>
      <c r="N18" s="19"/>
      <c r="O18" s="19"/>
      <c r="P18" s="19"/>
      <c r="Q18" s="19"/>
      <c r="R18" s="21"/>
      <c r="S18" s="19"/>
      <c r="T18" s="21"/>
      <c r="U18" s="19"/>
    </row>
    <row r="19" spans="1:21">
      <c r="A19" s="19" t="s">
        <v>77</v>
      </c>
      <c r="B19" s="19">
        <v>3</v>
      </c>
      <c r="C19" t="s">
        <v>176</v>
      </c>
      <c r="D19" t="s">
        <v>114</v>
      </c>
      <c r="E19" s="19"/>
      <c r="F19" s="37">
        <v>45722</v>
      </c>
      <c r="G19" s="28">
        <v>46567</v>
      </c>
      <c r="H19" s="48">
        <f ca="1">IF(tblMicrosoftAssignments[[#This Row],[Expiry Date]]="","",tblMicrosoftAssignments[[#This Row],[Expiry Date]]-TODAY())</f>
        <v>288</v>
      </c>
      <c r="I19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19" s="19" t="str">
        <f>IF(tblMicrosoftAssignments[[#This Row],[User Name]]="","Unassigned","Assigned")</f>
        <v>Assigned</v>
      </c>
      <c r="K19" s="19"/>
      <c r="L19" s="19"/>
      <c r="M19" s="19"/>
      <c r="N19" s="19"/>
      <c r="O19" s="19"/>
      <c r="P19" s="19"/>
      <c r="Q19" s="19"/>
      <c r="R19" s="21"/>
      <c r="S19" s="19"/>
      <c r="T19" s="21"/>
      <c r="U19" s="19"/>
    </row>
    <row r="20" spans="1:21">
      <c r="A20" s="19" t="s">
        <v>77</v>
      </c>
      <c r="B20" s="19">
        <v>4</v>
      </c>
      <c r="C20" t="s">
        <v>124</v>
      </c>
      <c r="D20" t="s">
        <v>148</v>
      </c>
      <c r="E20" s="19"/>
      <c r="F20" s="37">
        <v>45722</v>
      </c>
      <c r="G20" s="28">
        <v>46567</v>
      </c>
      <c r="H20" s="48">
        <f ca="1">IF(tblMicrosoftAssignments[[#This Row],[Expiry Date]]="","",tblMicrosoftAssignments[[#This Row],[Expiry Date]]-TODAY())</f>
        <v>288</v>
      </c>
      <c r="I20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20" s="19" t="str">
        <f>IF(tblMicrosoftAssignments[[#This Row],[User Name]]="","Unassigned","Assigned")</f>
        <v>Assigned</v>
      </c>
      <c r="K20" s="19"/>
      <c r="L20" s="19"/>
      <c r="M20" s="19"/>
      <c r="N20" s="19"/>
      <c r="O20" s="19"/>
      <c r="P20" s="19"/>
      <c r="Q20" s="19"/>
      <c r="R20" s="21"/>
      <c r="S20" s="19"/>
      <c r="T20" s="21"/>
      <c r="U20" s="19"/>
    </row>
    <row r="21" spans="1:21">
      <c r="A21" s="19" t="s">
        <v>77</v>
      </c>
      <c r="B21" s="19">
        <v>5</v>
      </c>
      <c r="C21" t="s">
        <v>125</v>
      </c>
      <c r="D21" t="s">
        <v>149</v>
      </c>
      <c r="E21" s="19"/>
      <c r="F21" s="37">
        <v>45722</v>
      </c>
      <c r="G21" s="28">
        <v>46567</v>
      </c>
      <c r="H21" s="48">
        <f ca="1">IF(tblMicrosoftAssignments[[#This Row],[Expiry Date]]="","",tblMicrosoftAssignments[[#This Row],[Expiry Date]]-TODAY())</f>
        <v>288</v>
      </c>
      <c r="I21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21" s="19" t="str">
        <f>IF(tblMicrosoftAssignments[[#This Row],[User Name]]="","Unassigned","Assigned")</f>
        <v>Assigned</v>
      </c>
      <c r="K21" s="19"/>
      <c r="L21" s="19"/>
      <c r="M21" s="19"/>
      <c r="N21" s="19"/>
      <c r="O21" s="19"/>
      <c r="P21" s="19"/>
      <c r="Q21" s="19"/>
      <c r="R21" s="21"/>
      <c r="S21" s="19"/>
      <c r="T21" s="21"/>
      <c r="U21" s="19"/>
    </row>
    <row r="22" spans="1:21">
      <c r="A22" s="19" t="s">
        <v>77</v>
      </c>
      <c r="B22" s="19">
        <v>6</v>
      </c>
      <c r="C22" t="s">
        <v>177</v>
      </c>
      <c r="D22" t="s">
        <v>221</v>
      </c>
      <c r="E22" s="19"/>
      <c r="F22" s="37">
        <v>45722</v>
      </c>
      <c r="G22" s="28">
        <v>46567</v>
      </c>
      <c r="H22" s="48">
        <f ca="1">IF(tblMicrosoftAssignments[[#This Row],[Expiry Date]]="","",tblMicrosoftAssignments[[#This Row],[Expiry Date]]-TODAY())</f>
        <v>288</v>
      </c>
      <c r="I22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22" s="19" t="str">
        <f>IF(tblMicrosoftAssignments[[#This Row],[User Name]]="","Unassigned","Assigned")</f>
        <v>Assigned</v>
      </c>
      <c r="K22" s="19"/>
      <c r="L22" s="19"/>
      <c r="M22" s="19"/>
      <c r="N22" s="19"/>
      <c r="O22" s="19"/>
      <c r="P22" s="19"/>
      <c r="Q22" s="19"/>
      <c r="R22" s="21"/>
      <c r="S22" s="19"/>
      <c r="T22" s="21"/>
      <c r="U22" s="19"/>
    </row>
    <row r="23" spans="1:21">
      <c r="A23" s="19" t="s">
        <v>77</v>
      </c>
      <c r="B23" s="19">
        <v>7</v>
      </c>
      <c r="C23" t="s">
        <v>178</v>
      </c>
      <c r="D23" t="s">
        <v>96</v>
      </c>
      <c r="E23" s="19"/>
      <c r="F23" s="37">
        <v>46099</v>
      </c>
      <c r="G23" s="28">
        <v>46567</v>
      </c>
      <c r="H23" s="48">
        <f ca="1">IF(tblMicrosoftAssignments[[#This Row],[Expiry Date]]="","",tblMicrosoftAssignments[[#This Row],[Expiry Date]]-TODAY())</f>
        <v>288</v>
      </c>
      <c r="I23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23" s="19" t="str">
        <f>IF(tblMicrosoftAssignments[[#This Row],[User Name]]="","Unassigned","Assigned")</f>
        <v>Assigned</v>
      </c>
      <c r="K23" s="19"/>
      <c r="L23" s="19"/>
      <c r="M23" s="19"/>
      <c r="N23" s="19"/>
      <c r="O23" s="19"/>
      <c r="P23" s="19"/>
      <c r="Q23" s="19"/>
      <c r="R23" s="21"/>
      <c r="S23" s="19"/>
      <c r="T23" s="21"/>
      <c r="U23" s="19"/>
    </row>
    <row r="24" spans="1:21">
      <c r="A24" s="19" t="s">
        <v>77</v>
      </c>
      <c r="B24" s="19">
        <v>8</v>
      </c>
      <c r="C24" t="s">
        <v>179</v>
      </c>
      <c r="D24" t="s">
        <v>222</v>
      </c>
      <c r="E24" s="19"/>
      <c r="F24" s="37">
        <v>44767</v>
      </c>
      <c r="G24" s="28">
        <v>46567</v>
      </c>
      <c r="H24" s="48">
        <f ca="1">IF(tblMicrosoftAssignments[[#This Row],[Expiry Date]]="","",tblMicrosoftAssignments[[#This Row],[Expiry Date]]-TODAY())</f>
        <v>288</v>
      </c>
      <c r="I24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24" s="19" t="str">
        <f>IF(tblMicrosoftAssignments[[#This Row],[User Name]]="","Unassigned","Assigned")</f>
        <v>Assigned</v>
      </c>
      <c r="K24" s="19"/>
      <c r="L24" s="19"/>
      <c r="M24" s="19"/>
      <c r="N24" s="19"/>
      <c r="O24" s="19"/>
      <c r="P24" s="19"/>
      <c r="Q24" s="19"/>
      <c r="R24" s="21"/>
      <c r="S24" s="19"/>
      <c r="T24" s="21"/>
      <c r="U24" s="19"/>
    </row>
    <row r="25" spans="1:21">
      <c r="A25" s="19" t="s">
        <v>77</v>
      </c>
      <c r="B25" s="19">
        <v>9</v>
      </c>
      <c r="C25" t="s">
        <v>180</v>
      </c>
      <c r="D25" t="s">
        <v>223</v>
      </c>
      <c r="E25" s="19"/>
      <c r="F25" s="37">
        <v>46020</v>
      </c>
      <c r="G25" s="28">
        <v>46567</v>
      </c>
      <c r="H25" s="48">
        <f ca="1">IF(tblMicrosoftAssignments[[#This Row],[Expiry Date]]="","",tblMicrosoftAssignments[[#This Row],[Expiry Date]]-TODAY())</f>
        <v>288</v>
      </c>
      <c r="I25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25" s="19" t="str">
        <f>IF(tblMicrosoftAssignments[[#This Row],[User Name]]="","Unassigned","Assigned")</f>
        <v>Assigned</v>
      </c>
      <c r="K25" s="19"/>
      <c r="L25" s="19"/>
      <c r="M25" s="19"/>
      <c r="N25" s="19"/>
      <c r="O25" s="19"/>
      <c r="P25" s="19"/>
      <c r="Q25" s="19"/>
      <c r="R25" s="21"/>
      <c r="S25" s="19"/>
      <c r="T25" s="21"/>
      <c r="U25" s="19"/>
    </row>
    <row r="26" spans="1:21">
      <c r="A26" s="19" t="s">
        <v>77</v>
      </c>
      <c r="B26" s="19">
        <v>10</v>
      </c>
      <c r="C26" t="s">
        <v>181</v>
      </c>
      <c r="D26" t="s">
        <v>224</v>
      </c>
      <c r="E26" s="19"/>
      <c r="F26" s="37">
        <v>45722</v>
      </c>
      <c r="G26" s="28">
        <v>46567</v>
      </c>
      <c r="H26" s="48">
        <f ca="1">IF(tblMicrosoftAssignments[[#This Row],[Expiry Date]]="","",tblMicrosoftAssignments[[#This Row],[Expiry Date]]-TODAY())</f>
        <v>288</v>
      </c>
      <c r="I26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26" s="19" t="str">
        <f>IF(tblMicrosoftAssignments[[#This Row],[User Name]]="","Unassigned","Assigned")</f>
        <v>Assigned</v>
      </c>
      <c r="K26" s="19"/>
      <c r="L26" s="19"/>
      <c r="M26" s="19"/>
      <c r="N26" s="19"/>
      <c r="O26" s="19"/>
      <c r="P26" s="19"/>
      <c r="Q26" s="19"/>
      <c r="R26" s="21"/>
      <c r="S26" s="19"/>
      <c r="T26" s="21"/>
      <c r="U26" s="19"/>
    </row>
    <row r="27" spans="1:21">
      <c r="A27" s="19" t="s">
        <v>77</v>
      </c>
      <c r="B27" s="19">
        <v>11</v>
      </c>
      <c r="C27" t="s">
        <v>182</v>
      </c>
      <c r="D27" t="s">
        <v>225</v>
      </c>
      <c r="E27" s="19"/>
      <c r="F27" s="37">
        <v>45799</v>
      </c>
      <c r="G27" s="28">
        <v>46567</v>
      </c>
      <c r="H27" s="48">
        <f ca="1">IF(tblMicrosoftAssignments[[#This Row],[Expiry Date]]="","",tblMicrosoftAssignments[[#This Row],[Expiry Date]]-TODAY())</f>
        <v>288</v>
      </c>
      <c r="I27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27" s="19" t="str">
        <f>IF(tblMicrosoftAssignments[[#This Row],[User Name]]="","Unassigned","Assigned")</f>
        <v>Assigned</v>
      </c>
      <c r="K27" s="19"/>
      <c r="L27" s="19"/>
      <c r="M27" s="19"/>
      <c r="N27" s="19"/>
      <c r="O27" s="19"/>
      <c r="P27" s="19"/>
      <c r="Q27" s="19"/>
      <c r="R27" s="21"/>
      <c r="S27" s="19"/>
      <c r="T27" s="21"/>
      <c r="U27" s="19"/>
    </row>
    <row r="28" spans="1:21">
      <c r="A28" s="19" t="s">
        <v>77</v>
      </c>
      <c r="B28" s="19">
        <v>12</v>
      </c>
      <c r="C28" t="s">
        <v>126</v>
      </c>
      <c r="D28" t="s">
        <v>150</v>
      </c>
      <c r="E28" s="19"/>
      <c r="F28" s="37">
        <v>46100</v>
      </c>
      <c r="G28" s="28">
        <v>46567</v>
      </c>
      <c r="H28" s="48">
        <f ca="1">IF(tblMicrosoftAssignments[[#This Row],[Expiry Date]]="","",tblMicrosoftAssignments[[#This Row],[Expiry Date]]-TODAY())</f>
        <v>288</v>
      </c>
      <c r="I28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28" s="19" t="str">
        <f>IF(tblMicrosoftAssignments[[#This Row],[User Name]]="","Unassigned","Assigned")</f>
        <v>Assigned</v>
      </c>
      <c r="K28" s="19"/>
      <c r="L28" s="19"/>
      <c r="M28" s="19"/>
      <c r="N28" s="19"/>
      <c r="O28" s="19"/>
      <c r="P28" s="19"/>
      <c r="Q28" s="19"/>
      <c r="R28" s="21"/>
      <c r="S28" s="19"/>
      <c r="T28" s="21"/>
      <c r="U28" s="19"/>
    </row>
    <row r="29" spans="1:21">
      <c r="A29" s="19" t="s">
        <v>77</v>
      </c>
      <c r="B29" s="19">
        <v>13</v>
      </c>
      <c r="C29" t="s">
        <v>183</v>
      </c>
      <c r="D29" t="s">
        <v>226</v>
      </c>
      <c r="E29" s="19"/>
      <c r="F29" s="37">
        <v>45722</v>
      </c>
      <c r="G29" s="28">
        <v>46567</v>
      </c>
      <c r="H29" s="48">
        <f ca="1">IF(tblMicrosoftAssignments[[#This Row],[Expiry Date]]="","",tblMicrosoftAssignments[[#This Row],[Expiry Date]]-TODAY())</f>
        <v>288</v>
      </c>
      <c r="I29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29" s="19" t="str">
        <f>IF(tblMicrosoftAssignments[[#This Row],[User Name]]="","Unassigned","Assigned")</f>
        <v>Assigned</v>
      </c>
      <c r="K29" s="19"/>
      <c r="L29" s="19"/>
      <c r="M29" s="19"/>
      <c r="N29" s="19"/>
      <c r="O29" s="19"/>
      <c r="P29" s="19"/>
      <c r="Q29" s="19"/>
      <c r="R29" s="21"/>
      <c r="S29" s="19"/>
      <c r="T29" s="21"/>
      <c r="U29" s="19"/>
    </row>
    <row r="30" spans="1:21">
      <c r="A30" s="19" t="s">
        <v>77</v>
      </c>
      <c r="B30" s="19">
        <v>14</v>
      </c>
      <c r="C30" t="s">
        <v>184</v>
      </c>
      <c r="D30" t="s">
        <v>227</v>
      </c>
      <c r="E30" s="19"/>
      <c r="F30" s="37">
        <v>45722</v>
      </c>
      <c r="G30" s="28">
        <v>46567</v>
      </c>
      <c r="H30" s="48">
        <f ca="1">IF(tblMicrosoftAssignments[[#This Row],[Expiry Date]]="","",tblMicrosoftAssignments[[#This Row],[Expiry Date]]-TODAY())</f>
        <v>288</v>
      </c>
      <c r="I30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30" s="19" t="str">
        <f>IF(tblMicrosoftAssignments[[#This Row],[User Name]]="","Unassigned","Assigned")</f>
        <v>Assigned</v>
      </c>
      <c r="K30" s="19"/>
      <c r="L30" s="19"/>
      <c r="M30" s="19"/>
      <c r="N30" s="19"/>
      <c r="O30" s="19"/>
      <c r="P30" s="19"/>
      <c r="Q30" s="19"/>
      <c r="R30" s="21"/>
      <c r="S30" s="19"/>
      <c r="T30" s="21"/>
      <c r="U30" s="19"/>
    </row>
    <row r="31" spans="1:21">
      <c r="A31" s="19" t="s">
        <v>77</v>
      </c>
      <c r="B31" s="19">
        <v>15</v>
      </c>
      <c r="C31" t="s">
        <v>185</v>
      </c>
      <c r="D31" t="s">
        <v>228</v>
      </c>
      <c r="E31" s="19"/>
      <c r="F31" s="37">
        <v>44767</v>
      </c>
      <c r="G31" s="28">
        <v>46567</v>
      </c>
      <c r="H31" s="48">
        <f ca="1">IF(tblMicrosoftAssignments[[#This Row],[Expiry Date]]="","",tblMicrosoftAssignments[[#This Row],[Expiry Date]]-TODAY())</f>
        <v>288</v>
      </c>
      <c r="I31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31" s="19" t="str">
        <f>IF(tblMicrosoftAssignments[[#This Row],[User Name]]="","Unassigned","Assigned")</f>
        <v>Assigned</v>
      </c>
      <c r="K31" s="19"/>
      <c r="L31" s="19"/>
      <c r="M31" s="19"/>
      <c r="N31" s="19"/>
      <c r="O31" s="19"/>
      <c r="P31" s="19"/>
      <c r="Q31" s="19"/>
      <c r="R31" s="21"/>
      <c r="S31" s="19"/>
      <c r="T31" s="21"/>
      <c r="U31" s="19"/>
    </row>
    <row r="32" spans="1:21">
      <c r="A32" s="19" t="s">
        <v>77</v>
      </c>
      <c r="B32" s="19">
        <v>16</v>
      </c>
      <c r="C32" t="s">
        <v>186</v>
      </c>
      <c r="D32" t="s">
        <v>229</v>
      </c>
      <c r="E32" s="19"/>
      <c r="F32" s="37">
        <v>45722</v>
      </c>
      <c r="G32" s="28">
        <v>46567</v>
      </c>
      <c r="H32" s="48">
        <f ca="1">IF(tblMicrosoftAssignments[[#This Row],[Expiry Date]]="","",tblMicrosoftAssignments[[#This Row],[Expiry Date]]-TODAY())</f>
        <v>288</v>
      </c>
      <c r="I32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32" s="19" t="str">
        <f>IF(tblMicrosoftAssignments[[#This Row],[User Name]]="","Unassigned","Assigned")</f>
        <v>Assigned</v>
      </c>
      <c r="K32" s="19"/>
      <c r="L32" s="19"/>
      <c r="M32" s="19"/>
      <c r="N32" s="19"/>
      <c r="O32" s="19"/>
      <c r="P32" s="19"/>
      <c r="Q32" s="19"/>
      <c r="R32" s="21"/>
      <c r="S32" s="19"/>
      <c r="T32" s="21"/>
      <c r="U32" s="19"/>
    </row>
    <row r="33" spans="1:21">
      <c r="A33" s="19" t="s">
        <v>77</v>
      </c>
      <c r="B33" s="19">
        <v>17</v>
      </c>
      <c r="C33" t="s">
        <v>187</v>
      </c>
      <c r="D33" t="s">
        <v>230</v>
      </c>
      <c r="E33" s="19"/>
      <c r="F33" s="37">
        <v>45722</v>
      </c>
      <c r="G33" s="28">
        <v>46567</v>
      </c>
      <c r="H33" s="48">
        <f ca="1">IF(tblMicrosoftAssignments[[#This Row],[Expiry Date]]="","",tblMicrosoftAssignments[[#This Row],[Expiry Date]]-TODAY())</f>
        <v>288</v>
      </c>
      <c r="I33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33" s="19" t="str">
        <f>IF(tblMicrosoftAssignments[[#This Row],[User Name]]="","Unassigned","Assigned")</f>
        <v>Assigned</v>
      </c>
      <c r="K33" s="19"/>
      <c r="L33" s="19"/>
      <c r="M33" s="19"/>
      <c r="N33" s="19"/>
      <c r="O33" s="19"/>
      <c r="P33" s="19"/>
      <c r="Q33" s="19"/>
      <c r="R33" s="21"/>
      <c r="S33" s="19"/>
      <c r="T33" s="21"/>
      <c r="U33" s="19"/>
    </row>
    <row r="34" spans="1:21">
      <c r="A34" s="19" t="s">
        <v>77</v>
      </c>
      <c r="B34" s="19">
        <v>18</v>
      </c>
      <c r="C34" t="s">
        <v>127</v>
      </c>
      <c r="D34" s="33" t="s">
        <v>151</v>
      </c>
      <c r="E34" s="19"/>
      <c r="F34" s="37">
        <v>45722</v>
      </c>
      <c r="G34" s="28">
        <v>46567</v>
      </c>
      <c r="H34" s="48">
        <f ca="1">IF(tblMicrosoftAssignments[[#This Row],[Expiry Date]]="","",tblMicrosoftAssignments[[#This Row],[Expiry Date]]-TODAY())</f>
        <v>288</v>
      </c>
      <c r="I34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34" s="19" t="str">
        <f>IF(tblMicrosoftAssignments[[#This Row],[User Name]]="","Unassigned","Assigned")</f>
        <v>Assigned</v>
      </c>
      <c r="K34" s="19"/>
      <c r="L34" s="19"/>
      <c r="M34" s="19"/>
      <c r="N34" s="19"/>
      <c r="O34" s="19"/>
      <c r="P34" s="19"/>
      <c r="Q34" s="19"/>
      <c r="R34" s="21"/>
      <c r="S34" s="19"/>
      <c r="T34" s="21"/>
      <c r="U34" s="19"/>
    </row>
    <row r="35" spans="1:21">
      <c r="A35" s="19" t="s">
        <v>77</v>
      </c>
      <c r="B35" s="19">
        <v>19</v>
      </c>
      <c r="C35" t="s">
        <v>188</v>
      </c>
      <c r="D35" t="s">
        <v>231</v>
      </c>
      <c r="E35" s="19"/>
      <c r="F35" s="37">
        <v>45722</v>
      </c>
      <c r="G35" s="28">
        <v>46567</v>
      </c>
      <c r="H35" s="48">
        <f ca="1">IF(tblMicrosoftAssignments[[#This Row],[Expiry Date]]="","",tblMicrosoftAssignments[[#This Row],[Expiry Date]]-TODAY())</f>
        <v>288</v>
      </c>
      <c r="I35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35" s="19" t="str">
        <f>IF(tblMicrosoftAssignments[[#This Row],[User Name]]="","Unassigned","Assigned")</f>
        <v>Assigned</v>
      </c>
      <c r="K35" s="19"/>
      <c r="L35" s="19"/>
      <c r="M35" s="19"/>
      <c r="N35" s="19"/>
      <c r="O35" s="19"/>
      <c r="P35" s="19"/>
      <c r="Q35" s="19"/>
      <c r="R35" s="21"/>
      <c r="S35" s="19"/>
      <c r="T35" s="21"/>
      <c r="U35" s="19"/>
    </row>
    <row r="36" spans="1:21">
      <c r="A36" s="19" t="s">
        <v>77</v>
      </c>
      <c r="B36" s="19">
        <v>20</v>
      </c>
      <c r="C36" t="s">
        <v>128</v>
      </c>
      <c r="D36" t="s">
        <v>152</v>
      </c>
      <c r="E36" s="19"/>
      <c r="F36" s="37">
        <v>44767</v>
      </c>
      <c r="G36" s="28">
        <v>46567</v>
      </c>
      <c r="H36" s="48">
        <f ca="1">IF(tblMicrosoftAssignments[[#This Row],[Expiry Date]]="","",tblMicrosoftAssignments[[#This Row],[Expiry Date]]-TODAY())</f>
        <v>288</v>
      </c>
      <c r="I36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36" s="19" t="str">
        <f>IF(tblMicrosoftAssignments[[#This Row],[User Name]]="","Unassigned","Assigned")</f>
        <v>Assigned</v>
      </c>
      <c r="K36" s="19"/>
      <c r="L36" s="19"/>
      <c r="M36" s="19"/>
      <c r="N36" s="19"/>
      <c r="O36" s="19"/>
      <c r="P36" s="19"/>
      <c r="Q36" s="19"/>
      <c r="R36" s="21"/>
      <c r="S36" s="19"/>
      <c r="T36" s="21"/>
      <c r="U36" s="19"/>
    </row>
    <row r="37" spans="1:21">
      <c r="A37" s="19" t="s">
        <v>77</v>
      </c>
      <c r="B37" s="19">
        <v>21</v>
      </c>
      <c r="C37" t="s">
        <v>129</v>
      </c>
      <c r="D37" t="s">
        <v>153</v>
      </c>
      <c r="E37" s="19"/>
      <c r="F37" s="37">
        <v>45958</v>
      </c>
      <c r="G37" s="28">
        <v>46567</v>
      </c>
      <c r="H37" s="48">
        <f ca="1">IF(tblMicrosoftAssignments[[#This Row],[Expiry Date]]="","",tblMicrosoftAssignments[[#This Row],[Expiry Date]]-TODAY())</f>
        <v>288</v>
      </c>
      <c r="I37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37" s="19" t="str">
        <f>IF(tblMicrosoftAssignments[[#This Row],[User Name]]="","Unassigned","Assigned")</f>
        <v>Assigned</v>
      </c>
      <c r="K37" s="19"/>
      <c r="L37" s="19"/>
      <c r="M37" s="19"/>
      <c r="N37" s="19"/>
      <c r="O37" s="19"/>
      <c r="P37" s="19"/>
      <c r="Q37" s="19"/>
      <c r="R37" s="21"/>
      <c r="S37" s="19"/>
      <c r="T37" s="21"/>
      <c r="U37" s="19"/>
    </row>
    <row r="38" spans="1:21">
      <c r="A38" s="19" t="s">
        <v>77</v>
      </c>
      <c r="B38" s="19">
        <v>22</v>
      </c>
      <c r="C38" t="s">
        <v>189</v>
      </c>
      <c r="D38" t="s">
        <v>232</v>
      </c>
      <c r="E38" s="19"/>
      <c r="F38" s="37">
        <v>45722</v>
      </c>
      <c r="G38" s="28">
        <v>46567</v>
      </c>
      <c r="H38" s="48">
        <f ca="1">IF(tblMicrosoftAssignments[[#This Row],[Expiry Date]]="","",tblMicrosoftAssignments[[#This Row],[Expiry Date]]-TODAY())</f>
        <v>288</v>
      </c>
      <c r="I38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38" s="19" t="str">
        <f>IF(tblMicrosoftAssignments[[#This Row],[User Name]]="","Unassigned","Assigned")</f>
        <v>Assigned</v>
      </c>
      <c r="K38" s="19"/>
      <c r="L38" s="19"/>
      <c r="M38" s="19"/>
      <c r="N38" s="19"/>
      <c r="O38" s="19"/>
      <c r="P38" s="19"/>
      <c r="Q38" s="19"/>
      <c r="R38" s="21"/>
      <c r="S38" s="19"/>
      <c r="T38" s="21"/>
      <c r="U38" s="19"/>
    </row>
    <row r="39" spans="1:21">
      <c r="A39" s="19" t="s">
        <v>77</v>
      </c>
      <c r="B39" s="19">
        <v>23</v>
      </c>
      <c r="C39" t="s">
        <v>130</v>
      </c>
      <c r="D39" t="s">
        <v>154</v>
      </c>
      <c r="E39" s="19"/>
      <c r="F39" s="37">
        <v>44767</v>
      </c>
      <c r="G39" s="28">
        <v>46567</v>
      </c>
      <c r="H39" s="48">
        <f ca="1">IF(tblMicrosoftAssignments[[#This Row],[Expiry Date]]="","",tblMicrosoftAssignments[[#This Row],[Expiry Date]]-TODAY())</f>
        <v>288</v>
      </c>
      <c r="I39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39" s="19" t="str">
        <f>IF(tblMicrosoftAssignments[[#This Row],[User Name]]="","Unassigned","Assigned")</f>
        <v>Assigned</v>
      </c>
      <c r="K39" s="19"/>
      <c r="L39" s="19"/>
      <c r="M39" s="19"/>
      <c r="N39" s="19"/>
      <c r="O39" s="19"/>
      <c r="P39" s="19"/>
      <c r="Q39" s="19"/>
      <c r="R39" s="21"/>
      <c r="S39" s="19"/>
      <c r="T39" s="21"/>
      <c r="U39" s="19"/>
    </row>
    <row r="40" spans="1:21">
      <c r="A40" s="19" t="s">
        <v>77</v>
      </c>
      <c r="B40" s="19">
        <v>24</v>
      </c>
      <c r="C40" t="s">
        <v>131</v>
      </c>
      <c r="D40" t="s">
        <v>155</v>
      </c>
      <c r="E40" s="19"/>
      <c r="F40" s="37">
        <v>45722</v>
      </c>
      <c r="G40" s="28">
        <v>46567</v>
      </c>
      <c r="H40" s="48">
        <f ca="1">IF(tblMicrosoftAssignments[[#This Row],[Expiry Date]]="","",tblMicrosoftAssignments[[#This Row],[Expiry Date]]-TODAY())</f>
        <v>288</v>
      </c>
      <c r="I40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40" s="19" t="str">
        <f>IF(tblMicrosoftAssignments[[#This Row],[User Name]]="","Unassigned","Assigned")</f>
        <v>Assigned</v>
      </c>
      <c r="K40" s="19"/>
      <c r="L40" s="19"/>
      <c r="M40" s="19"/>
      <c r="N40" s="19"/>
      <c r="O40" s="19"/>
      <c r="P40" s="19"/>
      <c r="Q40" s="19"/>
      <c r="R40" s="21"/>
      <c r="S40" s="19"/>
      <c r="T40" s="21"/>
      <c r="U40" s="19"/>
    </row>
    <row r="41" spans="1:21">
      <c r="A41" s="19" t="s">
        <v>77</v>
      </c>
      <c r="B41" s="19">
        <v>25</v>
      </c>
      <c r="C41" t="s">
        <v>190</v>
      </c>
      <c r="D41" t="s">
        <v>233</v>
      </c>
      <c r="E41" s="19"/>
      <c r="F41" s="37">
        <v>45722</v>
      </c>
      <c r="G41" s="28">
        <v>46567</v>
      </c>
      <c r="H41" s="48">
        <f ca="1">IF(tblMicrosoftAssignments[[#This Row],[Expiry Date]]="","",tblMicrosoftAssignments[[#This Row],[Expiry Date]]-TODAY())</f>
        <v>288</v>
      </c>
      <c r="I41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41" s="19" t="str">
        <f>IF(tblMicrosoftAssignments[[#This Row],[User Name]]="","Unassigned","Assigned")</f>
        <v>Assigned</v>
      </c>
      <c r="K41" s="19"/>
      <c r="L41" s="19"/>
      <c r="M41" s="19"/>
      <c r="N41" s="19"/>
      <c r="O41" s="19"/>
      <c r="P41" s="19"/>
      <c r="Q41" s="19"/>
      <c r="R41" s="21"/>
      <c r="S41" s="19"/>
      <c r="T41" s="21"/>
      <c r="U41" s="19"/>
    </row>
    <row r="42" spans="1:21">
      <c r="A42" s="19" t="s">
        <v>77</v>
      </c>
      <c r="B42" s="19">
        <v>26</v>
      </c>
      <c r="C42" t="s">
        <v>132</v>
      </c>
      <c r="D42" t="s">
        <v>156</v>
      </c>
      <c r="E42" s="19"/>
      <c r="F42" s="37">
        <v>46021</v>
      </c>
      <c r="G42" s="28">
        <v>46567</v>
      </c>
      <c r="H42" s="48">
        <f ca="1">IF(tblMicrosoftAssignments[[#This Row],[Expiry Date]]="","",tblMicrosoftAssignments[[#This Row],[Expiry Date]]-TODAY())</f>
        <v>288</v>
      </c>
      <c r="I42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42" s="19" t="str">
        <f>IF(tblMicrosoftAssignments[[#This Row],[User Name]]="","Unassigned","Assigned")</f>
        <v>Assigned</v>
      </c>
      <c r="K42" s="19"/>
      <c r="L42" s="19"/>
      <c r="M42" s="19"/>
      <c r="N42" s="19"/>
      <c r="O42" s="19"/>
      <c r="P42" s="19"/>
      <c r="Q42" s="19"/>
      <c r="R42" s="21"/>
      <c r="S42" s="19"/>
      <c r="T42" s="21"/>
      <c r="U42" s="19"/>
    </row>
    <row r="43" spans="1:21">
      <c r="A43" s="19" t="s">
        <v>77</v>
      </c>
      <c r="B43" s="19">
        <v>27</v>
      </c>
      <c r="C43" t="s">
        <v>133</v>
      </c>
      <c r="D43" t="s">
        <v>157</v>
      </c>
      <c r="E43" s="19"/>
      <c r="F43" s="37">
        <v>45722</v>
      </c>
      <c r="G43" s="28">
        <v>46567</v>
      </c>
      <c r="H43" s="48">
        <f ca="1">IF(tblMicrosoftAssignments[[#This Row],[Expiry Date]]="","",tblMicrosoftAssignments[[#This Row],[Expiry Date]]-TODAY())</f>
        <v>288</v>
      </c>
      <c r="I43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43" s="19" t="str">
        <f>IF(tblMicrosoftAssignments[[#This Row],[User Name]]="","Unassigned","Assigned")</f>
        <v>Assigned</v>
      </c>
      <c r="K43" s="19"/>
      <c r="L43" s="19"/>
      <c r="M43" s="19"/>
      <c r="N43" s="19"/>
      <c r="O43" s="19"/>
      <c r="P43" s="19"/>
      <c r="Q43" s="19"/>
      <c r="R43" s="21"/>
      <c r="S43" s="19"/>
      <c r="T43" s="21"/>
      <c r="U43" s="19"/>
    </row>
    <row r="44" spans="1:21">
      <c r="A44" s="19" t="s">
        <v>77</v>
      </c>
      <c r="B44" s="19">
        <v>28</v>
      </c>
      <c r="C44" t="s">
        <v>191</v>
      </c>
      <c r="D44" t="s">
        <v>234</v>
      </c>
      <c r="E44" s="19"/>
      <c r="F44" s="37">
        <v>46234</v>
      </c>
      <c r="G44" s="28">
        <v>46567</v>
      </c>
      <c r="H44" s="48">
        <f ca="1">IF(tblMicrosoftAssignments[[#This Row],[Expiry Date]]="","",tblMicrosoftAssignments[[#This Row],[Expiry Date]]-TODAY())</f>
        <v>288</v>
      </c>
      <c r="I44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44" s="19" t="str">
        <f>IF(tblMicrosoftAssignments[[#This Row],[User Name]]="","Unassigned","Assigned")</f>
        <v>Assigned</v>
      </c>
      <c r="K44" s="19"/>
      <c r="L44" s="19"/>
      <c r="M44" s="19"/>
      <c r="N44" s="19"/>
      <c r="O44" s="19"/>
      <c r="P44" s="19"/>
      <c r="Q44" s="19"/>
      <c r="R44" s="21"/>
      <c r="S44" s="19"/>
      <c r="T44" s="21"/>
      <c r="U44" s="19"/>
    </row>
    <row r="45" spans="1:21">
      <c r="A45" s="19" t="s">
        <v>77</v>
      </c>
      <c r="B45" s="19">
        <v>29</v>
      </c>
      <c r="C45" t="s">
        <v>134</v>
      </c>
      <c r="D45" t="s">
        <v>158</v>
      </c>
      <c r="E45" s="19"/>
      <c r="F45" s="37">
        <v>44767</v>
      </c>
      <c r="G45" s="28">
        <v>46567</v>
      </c>
      <c r="H45" s="48">
        <f ca="1">IF(tblMicrosoftAssignments[[#This Row],[Expiry Date]]="","",tblMicrosoftAssignments[[#This Row],[Expiry Date]]-TODAY())</f>
        <v>288</v>
      </c>
      <c r="I45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45" s="19" t="str">
        <f>IF(tblMicrosoftAssignments[[#This Row],[User Name]]="","Unassigned","Assigned")</f>
        <v>Assigned</v>
      </c>
      <c r="K45" s="19"/>
      <c r="L45" s="19"/>
      <c r="M45" s="19"/>
      <c r="N45" s="19"/>
      <c r="O45" s="19"/>
      <c r="P45" s="19"/>
      <c r="Q45" s="19"/>
      <c r="R45" s="21"/>
      <c r="S45" s="19"/>
      <c r="T45" s="21"/>
      <c r="U45" s="19"/>
    </row>
    <row r="46" spans="1:21">
      <c r="A46" s="19" t="s">
        <v>77</v>
      </c>
      <c r="B46" s="19">
        <v>30</v>
      </c>
      <c r="C46" t="s">
        <v>192</v>
      </c>
      <c r="D46" t="s">
        <v>235</v>
      </c>
      <c r="E46" s="19"/>
      <c r="F46" s="37">
        <v>45722</v>
      </c>
      <c r="G46" s="28">
        <v>46567</v>
      </c>
      <c r="H46" s="48">
        <f ca="1">IF(tblMicrosoftAssignments[[#This Row],[Expiry Date]]="","",tblMicrosoftAssignments[[#This Row],[Expiry Date]]-TODAY())</f>
        <v>288</v>
      </c>
      <c r="I46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46" s="19" t="str">
        <f>IF(tblMicrosoftAssignments[[#This Row],[User Name]]="","Unassigned","Assigned")</f>
        <v>Assigned</v>
      </c>
      <c r="K46" s="19"/>
      <c r="L46" s="19"/>
      <c r="M46" s="19"/>
      <c r="N46" s="19"/>
      <c r="O46" s="19"/>
      <c r="P46" s="19"/>
      <c r="Q46" s="19"/>
      <c r="R46" s="21"/>
      <c r="S46" s="19"/>
      <c r="T46" s="21"/>
      <c r="U46" s="19"/>
    </row>
    <row r="47" spans="1:21">
      <c r="A47" s="19" t="s">
        <v>77</v>
      </c>
      <c r="B47" s="19">
        <v>31</v>
      </c>
      <c r="C47" t="s">
        <v>135</v>
      </c>
      <c r="D47" t="s">
        <v>64</v>
      </c>
      <c r="E47" s="19"/>
      <c r="F47" s="37">
        <v>44767</v>
      </c>
      <c r="G47" s="28">
        <v>46567</v>
      </c>
      <c r="H47" s="48">
        <f ca="1">IF(tblMicrosoftAssignments[[#This Row],[Expiry Date]]="","",tblMicrosoftAssignments[[#This Row],[Expiry Date]]-TODAY())</f>
        <v>288</v>
      </c>
      <c r="I47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47" s="19" t="str">
        <f>IF(tblMicrosoftAssignments[[#This Row],[User Name]]="","Unassigned","Assigned")</f>
        <v>Assigned</v>
      </c>
      <c r="K47" s="19"/>
      <c r="L47" s="19"/>
      <c r="M47" s="19"/>
      <c r="N47" s="19"/>
      <c r="O47" s="19"/>
      <c r="P47" s="19"/>
      <c r="Q47" s="19"/>
      <c r="R47" s="21"/>
      <c r="S47" s="19"/>
      <c r="T47" s="21"/>
      <c r="U47" s="19"/>
    </row>
    <row r="48" spans="1:21">
      <c r="A48" s="19" t="s">
        <v>77</v>
      </c>
      <c r="B48" s="19">
        <v>32</v>
      </c>
      <c r="C48" t="s">
        <v>193</v>
      </c>
      <c r="D48" t="s">
        <v>236</v>
      </c>
      <c r="E48" s="19"/>
      <c r="F48" s="37">
        <v>45722</v>
      </c>
      <c r="G48" s="28">
        <v>46567</v>
      </c>
      <c r="H48" s="48">
        <f ca="1">IF(tblMicrosoftAssignments[[#This Row],[Expiry Date]]="","",tblMicrosoftAssignments[[#This Row],[Expiry Date]]-TODAY())</f>
        <v>288</v>
      </c>
      <c r="I48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48" s="19" t="str">
        <f>IF(tblMicrosoftAssignments[[#This Row],[User Name]]="","Unassigned","Assigned")</f>
        <v>Assigned</v>
      </c>
      <c r="K48" s="19"/>
      <c r="L48" s="19"/>
      <c r="M48" s="19"/>
      <c r="N48" s="19"/>
      <c r="O48" s="19"/>
      <c r="P48" s="19"/>
      <c r="Q48" s="19"/>
      <c r="R48" s="21"/>
      <c r="S48" s="19"/>
      <c r="T48" s="21"/>
      <c r="U48" s="19"/>
    </row>
    <row r="49" spans="1:21">
      <c r="A49" s="19" t="s">
        <v>77</v>
      </c>
      <c r="B49" s="19">
        <v>33</v>
      </c>
      <c r="C49" t="s">
        <v>194</v>
      </c>
      <c r="D49" t="s">
        <v>237</v>
      </c>
      <c r="E49" s="19"/>
      <c r="F49" s="37">
        <v>45722</v>
      </c>
      <c r="G49" s="28">
        <v>46567</v>
      </c>
      <c r="H49" s="48">
        <f ca="1">IF(tblMicrosoftAssignments[[#This Row],[Expiry Date]]="","",tblMicrosoftAssignments[[#This Row],[Expiry Date]]-TODAY())</f>
        <v>288</v>
      </c>
      <c r="I49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49" s="19" t="str">
        <f>IF(tblMicrosoftAssignments[[#This Row],[User Name]]="","Unassigned","Assigned")</f>
        <v>Assigned</v>
      </c>
      <c r="K49" s="19"/>
      <c r="L49" s="19"/>
      <c r="M49" s="19"/>
      <c r="N49" s="19"/>
      <c r="O49" s="19"/>
      <c r="P49" s="19"/>
      <c r="Q49" s="19"/>
      <c r="R49" s="21"/>
      <c r="S49" s="19"/>
      <c r="T49" s="21"/>
      <c r="U49" s="19"/>
    </row>
    <row r="50" spans="1:21">
      <c r="A50" s="19" t="s">
        <v>77</v>
      </c>
      <c r="B50" s="19">
        <v>34</v>
      </c>
      <c r="C50" t="s">
        <v>136</v>
      </c>
      <c r="D50" t="s">
        <v>115</v>
      </c>
      <c r="E50" s="19"/>
      <c r="F50" s="37">
        <v>46202</v>
      </c>
      <c r="G50" s="28">
        <v>46567</v>
      </c>
      <c r="H50" s="48">
        <f ca="1">IF(tblMicrosoftAssignments[[#This Row],[Expiry Date]]="","",tblMicrosoftAssignments[[#This Row],[Expiry Date]]-TODAY())</f>
        <v>288</v>
      </c>
      <c r="I50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50" s="19" t="str">
        <f>IF(tblMicrosoftAssignments[[#This Row],[User Name]]="","Unassigned","Assigned")</f>
        <v>Assigned</v>
      </c>
      <c r="K50" s="19"/>
      <c r="L50" s="19"/>
      <c r="M50" s="19"/>
      <c r="N50" s="19"/>
      <c r="O50" s="19"/>
      <c r="P50" s="19"/>
      <c r="Q50" s="19"/>
      <c r="R50" s="21"/>
      <c r="S50" s="19"/>
      <c r="T50" s="21"/>
      <c r="U50" s="19"/>
    </row>
    <row r="51" spans="1:21">
      <c r="A51" s="19" t="s">
        <v>77</v>
      </c>
      <c r="B51" s="19">
        <v>35</v>
      </c>
      <c r="C51" t="s">
        <v>137</v>
      </c>
      <c r="D51" t="s">
        <v>159</v>
      </c>
      <c r="E51" s="19"/>
      <c r="F51" s="37">
        <v>45722</v>
      </c>
      <c r="G51" s="28">
        <v>46567</v>
      </c>
      <c r="H51" s="48">
        <f ca="1">IF(tblMicrosoftAssignments[[#This Row],[Expiry Date]]="","",tblMicrosoftAssignments[[#This Row],[Expiry Date]]-TODAY())</f>
        <v>288</v>
      </c>
      <c r="I51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51" s="19" t="str">
        <f>IF(tblMicrosoftAssignments[[#This Row],[User Name]]="","Unassigned","Assigned")</f>
        <v>Assigned</v>
      </c>
      <c r="K51" s="19"/>
      <c r="L51" s="19"/>
      <c r="M51" s="19"/>
      <c r="N51" s="19"/>
      <c r="O51" s="19"/>
      <c r="P51" s="19"/>
      <c r="Q51" s="19"/>
      <c r="R51" s="21"/>
      <c r="S51" s="19"/>
      <c r="T51" s="21"/>
      <c r="U51" s="19"/>
    </row>
    <row r="52" spans="1:21">
      <c r="A52" s="19" t="s">
        <v>77</v>
      </c>
      <c r="B52" s="19">
        <v>36</v>
      </c>
      <c r="C52" t="s">
        <v>138</v>
      </c>
      <c r="D52" t="s">
        <v>160</v>
      </c>
      <c r="E52" s="19"/>
      <c r="F52" s="37">
        <v>44767</v>
      </c>
      <c r="G52" s="28">
        <v>46567</v>
      </c>
      <c r="H52" s="48">
        <f ca="1">IF(tblMicrosoftAssignments[[#This Row],[Expiry Date]]="","",tblMicrosoftAssignments[[#This Row],[Expiry Date]]-TODAY())</f>
        <v>288</v>
      </c>
      <c r="I52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52" s="19" t="str">
        <f>IF(tblMicrosoftAssignments[[#This Row],[User Name]]="","Unassigned","Assigned")</f>
        <v>Assigned</v>
      </c>
      <c r="K52" s="19"/>
      <c r="L52" s="19"/>
      <c r="M52" s="19"/>
      <c r="N52" s="19"/>
      <c r="O52" s="19"/>
      <c r="P52" s="19"/>
      <c r="Q52" s="19"/>
      <c r="R52" s="21"/>
      <c r="S52" s="19"/>
      <c r="T52" s="21"/>
      <c r="U52" s="19"/>
    </row>
    <row r="53" spans="1:21">
      <c r="A53" s="19" t="s">
        <v>77</v>
      </c>
      <c r="B53" s="19">
        <v>37</v>
      </c>
      <c r="C53" t="s">
        <v>195</v>
      </c>
      <c r="D53" t="s">
        <v>238</v>
      </c>
      <c r="E53" s="19"/>
      <c r="F53" s="37">
        <v>45722</v>
      </c>
      <c r="G53" s="28">
        <v>46567</v>
      </c>
      <c r="H53" s="48">
        <f ca="1">IF(tblMicrosoftAssignments[[#This Row],[Expiry Date]]="","",tblMicrosoftAssignments[[#This Row],[Expiry Date]]-TODAY())</f>
        <v>288</v>
      </c>
      <c r="I53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53" s="19" t="str">
        <f>IF(tblMicrosoftAssignments[[#This Row],[User Name]]="","Unassigned","Assigned")</f>
        <v>Assigned</v>
      </c>
      <c r="K53" s="19"/>
      <c r="L53" s="19"/>
      <c r="M53" s="19"/>
      <c r="N53" s="19"/>
      <c r="O53" s="19"/>
      <c r="P53" s="19"/>
      <c r="Q53" s="19"/>
      <c r="R53" s="21"/>
      <c r="S53" s="19"/>
      <c r="T53" s="21"/>
      <c r="U53" s="19"/>
    </row>
    <row r="54" spans="1:21">
      <c r="A54" s="19" t="s">
        <v>77</v>
      </c>
      <c r="B54" s="19">
        <v>38</v>
      </c>
      <c r="C54" t="s">
        <v>196</v>
      </c>
      <c r="D54" t="s">
        <v>239</v>
      </c>
      <c r="E54" s="19"/>
      <c r="F54" s="37">
        <v>45722</v>
      </c>
      <c r="G54" s="28">
        <v>46567</v>
      </c>
      <c r="H54" s="48">
        <f ca="1">IF(tblMicrosoftAssignments[[#This Row],[Expiry Date]]="","",tblMicrosoftAssignments[[#This Row],[Expiry Date]]-TODAY())</f>
        <v>288</v>
      </c>
      <c r="I54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54" s="19" t="str">
        <f>IF(tblMicrosoftAssignments[[#This Row],[User Name]]="","Unassigned","Assigned")</f>
        <v>Assigned</v>
      </c>
      <c r="K54" s="19"/>
      <c r="L54" s="19"/>
      <c r="M54" s="19"/>
      <c r="N54" s="19"/>
      <c r="O54" s="19"/>
      <c r="P54" s="19"/>
      <c r="Q54" s="19"/>
      <c r="R54" s="21"/>
      <c r="S54" s="19"/>
      <c r="T54" s="21"/>
      <c r="U54" s="19"/>
    </row>
    <row r="55" spans="1:21">
      <c r="A55" s="19" t="s">
        <v>77</v>
      </c>
      <c r="B55" s="19">
        <v>39</v>
      </c>
      <c r="C55" t="s">
        <v>197</v>
      </c>
      <c r="D55" t="s">
        <v>240</v>
      </c>
      <c r="E55" s="19"/>
      <c r="F55" s="37">
        <v>45839</v>
      </c>
      <c r="G55" s="28">
        <v>46567</v>
      </c>
      <c r="H55" s="48">
        <f ca="1">IF(tblMicrosoftAssignments[[#This Row],[Expiry Date]]="","",tblMicrosoftAssignments[[#This Row],[Expiry Date]]-TODAY())</f>
        <v>288</v>
      </c>
      <c r="I55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55" s="19" t="str">
        <f>IF(tblMicrosoftAssignments[[#This Row],[User Name]]="","Unassigned","Assigned")</f>
        <v>Assigned</v>
      </c>
      <c r="K55" s="19"/>
      <c r="L55" s="19"/>
      <c r="M55" s="19"/>
      <c r="N55" s="19"/>
      <c r="O55" s="19"/>
      <c r="P55" s="19"/>
      <c r="Q55" s="19"/>
      <c r="R55" s="21"/>
      <c r="S55" s="19"/>
      <c r="T55" s="21"/>
      <c r="U55" s="19"/>
    </row>
    <row r="56" spans="1:21">
      <c r="A56" s="19" t="s">
        <v>77</v>
      </c>
      <c r="B56" s="19">
        <v>40</v>
      </c>
      <c r="C56" t="s">
        <v>139</v>
      </c>
      <c r="D56" t="s">
        <v>161</v>
      </c>
      <c r="E56" s="19"/>
      <c r="F56" s="37">
        <v>45722</v>
      </c>
      <c r="G56" s="28">
        <v>46567</v>
      </c>
      <c r="H56" s="48">
        <f ca="1">IF(tblMicrosoftAssignments[[#This Row],[Expiry Date]]="","",tblMicrosoftAssignments[[#This Row],[Expiry Date]]-TODAY())</f>
        <v>288</v>
      </c>
      <c r="I56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56" s="19" t="str">
        <f>IF(tblMicrosoftAssignments[[#This Row],[User Name]]="","Unassigned","Assigned")</f>
        <v>Assigned</v>
      </c>
      <c r="K56" s="19"/>
      <c r="L56" s="19"/>
      <c r="M56" s="19"/>
      <c r="N56" s="19"/>
      <c r="O56" s="19"/>
      <c r="P56" s="19"/>
      <c r="Q56" s="19"/>
      <c r="R56" s="21"/>
      <c r="S56" s="19"/>
      <c r="T56" s="21"/>
      <c r="U56" s="19"/>
    </row>
    <row r="57" spans="1:21">
      <c r="A57" s="19" t="s">
        <v>77</v>
      </c>
      <c r="B57" s="19">
        <v>41</v>
      </c>
      <c r="C57" t="s">
        <v>198</v>
      </c>
      <c r="D57" t="s">
        <v>241</v>
      </c>
      <c r="E57" s="19"/>
      <c r="F57" s="37">
        <v>45722</v>
      </c>
      <c r="G57" s="28">
        <v>46567</v>
      </c>
      <c r="H57" s="48">
        <f ca="1">IF(tblMicrosoftAssignments[[#This Row],[Expiry Date]]="","",tblMicrosoftAssignments[[#This Row],[Expiry Date]]-TODAY())</f>
        <v>288</v>
      </c>
      <c r="I57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57" s="19" t="str">
        <f>IF(tblMicrosoftAssignments[[#This Row],[User Name]]="","Unassigned","Assigned")</f>
        <v>Assigned</v>
      </c>
      <c r="K57" s="19"/>
      <c r="L57" s="19"/>
      <c r="M57" s="19"/>
      <c r="N57" s="19"/>
      <c r="O57" s="19"/>
      <c r="P57" s="19"/>
      <c r="Q57" s="19"/>
      <c r="R57" s="21"/>
      <c r="S57" s="19"/>
      <c r="T57" s="21"/>
      <c r="U57" s="19"/>
    </row>
    <row r="58" spans="1:21">
      <c r="A58" s="19" t="s">
        <v>77</v>
      </c>
      <c r="B58" s="19">
        <v>42</v>
      </c>
      <c r="C58" t="s">
        <v>199</v>
      </c>
      <c r="D58" t="s">
        <v>242</v>
      </c>
      <c r="E58" s="19"/>
      <c r="F58" s="37">
        <v>45839</v>
      </c>
      <c r="G58" s="28">
        <v>46567</v>
      </c>
      <c r="H58" s="48">
        <f ca="1">IF(tblMicrosoftAssignments[[#This Row],[Expiry Date]]="","",tblMicrosoftAssignments[[#This Row],[Expiry Date]]-TODAY())</f>
        <v>288</v>
      </c>
      <c r="I58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58" s="19" t="str">
        <f>IF(tblMicrosoftAssignments[[#This Row],[User Name]]="","Unassigned","Assigned")</f>
        <v>Assigned</v>
      </c>
      <c r="K58" s="19"/>
      <c r="L58" s="19"/>
      <c r="M58" s="19"/>
      <c r="N58" s="19"/>
      <c r="O58" s="19"/>
      <c r="P58" s="19"/>
      <c r="Q58" s="19"/>
      <c r="R58" s="21"/>
      <c r="S58" s="19"/>
      <c r="T58" s="21"/>
      <c r="U58" s="19"/>
    </row>
    <row r="59" spans="1:21">
      <c r="A59" s="19" t="s">
        <v>77</v>
      </c>
      <c r="B59" s="19">
        <v>43</v>
      </c>
      <c r="C59" t="s">
        <v>140</v>
      </c>
      <c r="D59" t="s">
        <v>162</v>
      </c>
      <c r="E59" s="19"/>
      <c r="F59" s="37">
        <v>45722</v>
      </c>
      <c r="G59" s="28">
        <v>46567</v>
      </c>
      <c r="H59" s="48">
        <f ca="1">IF(tblMicrosoftAssignments[[#This Row],[Expiry Date]]="","",tblMicrosoftAssignments[[#This Row],[Expiry Date]]-TODAY())</f>
        <v>288</v>
      </c>
      <c r="I59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59" s="19" t="str">
        <f>IF(tblMicrosoftAssignments[[#This Row],[User Name]]="","Unassigned","Assigned")</f>
        <v>Assigned</v>
      </c>
      <c r="K59" s="19"/>
      <c r="L59" s="19"/>
      <c r="M59" s="19"/>
      <c r="N59" s="19"/>
      <c r="O59" s="19"/>
      <c r="P59" s="19"/>
      <c r="Q59" s="19"/>
      <c r="R59" s="21"/>
      <c r="S59" s="19"/>
      <c r="T59" s="21"/>
      <c r="U59" s="19"/>
    </row>
    <row r="60" spans="1:21">
      <c r="A60" s="19" t="s">
        <v>77</v>
      </c>
      <c r="B60" s="19">
        <v>44</v>
      </c>
      <c r="C60" t="s">
        <v>200</v>
      </c>
      <c r="D60" t="s">
        <v>243</v>
      </c>
      <c r="E60" s="19"/>
      <c r="F60" s="37">
        <v>45722</v>
      </c>
      <c r="G60" s="28">
        <v>46567</v>
      </c>
      <c r="H60" s="48">
        <f ca="1">IF(tblMicrosoftAssignments[[#This Row],[Expiry Date]]="","",tblMicrosoftAssignments[[#This Row],[Expiry Date]]-TODAY())</f>
        <v>288</v>
      </c>
      <c r="I60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60" s="19" t="str">
        <f>IF(tblMicrosoftAssignments[[#This Row],[User Name]]="","Unassigned","Assigned")</f>
        <v>Assigned</v>
      </c>
      <c r="K60" s="19"/>
      <c r="L60" s="19"/>
      <c r="M60" s="19"/>
      <c r="N60" s="19"/>
      <c r="O60" s="19"/>
      <c r="P60" s="19"/>
      <c r="Q60" s="19"/>
      <c r="R60" s="21"/>
      <c r="S60" s="19"/>
      <c r="T60" s="21"/>
      <c r="U60" s="19"/>
    </row>
    <row r="61" spans="1:21">
      <c r="A61" s="19" t="s">
        <v>77</v>
      </c>
      <c r="B61" s="19">
        <v>45</v>
      </c>
      <c r="C61" t="s">
        <v>201</v>
      </c>
      <c r="D61" t="s">
        <v>244</v>
      </c>
      <c r="E61" s="19"/>
      <c r="F61" s="37">
        <v>45722</v>
      </c>
      <c r="G61" s="28">
        <v>46567</v>
      </c>
      <c r="H61" s="48">
        <f ca="1">IF(tblMicrosoftAssignments[[#This Row],[Expiry Date]]="","",tblMicrosoftAssignments[[#This Row],[Expiry Date]]-TODAY())</f>
        <v>288</v>
      </c>
      <c r="I61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61" s="19" t="str">
        <f>IF(tblMicrosoftAssignments[[#This Row],[User Name]]="","Unassigned","Assigned")</f>
        <v>Assigned</v>
      </c>
      <c r="K61" s="19"/>
      <c r="L61" s="19"/>
      <c r="M61" s="19"/>
      <c r="N61" s="19"/>
      <c r="O61" s="19"/>
      <c r="P61" s="19"/>
      <c r="Q61" s="19"/>
      <c r="R61" s="21"/>
      <c r="S61" s="19"/>
      <c r="T61" s="21"/>
      <c r="U61" s="19"/>
    </row>
    <row r="62" spans="1:21">
      <c r="A62" s="19" t="s">
        <v>77</v>
      </c>
      <c r="B62" s="19">
        <v>46</v>
      </c>
      <c r="C62" t="s">
        <v>202</v>
      </c>
      <c r="D62" t="s">
        <v>245</v>
      </c>
      <c r="E62" s="19"/>
      <c r="F62" s="37">
        <v>45722</v>
      </c>
      <c r="G62" s="28">
        <v>46567</v>
      </c>
      <c r="H62" s="48">
        <f ca="1">IF(tblMicrosoftAssignments[[#This Row],[Expiry Date]]="","",tblMicrosoftAssignments[[#This Row],[Expiry Date]]-TODAY())</f>
        <v>288</v>
      </c>
      <c r="I62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62" s="19" t="str">
        <f>IF(tblMicrosoftAssignments[[#This Row],[User Name]]="","Unassigned","Assigned")</f>
        <v>Assigned</v>
      </c>
      <c r="K62" s="19"/>
      <c r="L62" s="19"/>
      <c r="M62" s="19"/>
      <c r="N62" s="19"/>
      <c r="O62" s="19"/>
      <c r="P62" s="19"/>
      <c r="Q62" s="19"/>
      <c r="R62" s="21"/>
      <c r="S62" s="19"/>
      <c r="T62" s="21"/>
      <c r="U62" s="19"/>
    </row>
    <row r="63" spans="1:21">
      <c r="A63" s="19" t="s">
        <v>77</v>
      </c>
      <c r="B63" s="19">
        <v>47</v>
      </c>
      <c r="C63" t="s">
        <v>203</v>
      </c>
      <c r="D63" t="s">
        <v>246</v>
      </c>
      <c r="E63" s="19"/>
      <c r="F63" s="37">
        <v>45722</v>
      </c>
      <c r="G63" s="28">
        <v>46567</v>
      </c>
      <c r="H63" s="48">
        <f ca="1">IF(tblMicrosoftAssignments[[#This Row],[Expiry Date]]="","",tblMicrosoftAssignments[[#This Row],[Expiry Date]]-TODAY())</f>
        <v>288</v>
      </c>
      <c r="I63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63" s="19" t="str">
        <f>IF(tblMicrosoftAssignments[[#This Row],[User Name]]="","Unassigned","Assigned")</f>
        <v>Assigned</v>
      </c>
      <c r="K63" s="19"/>
      <c r="L63" s="19"/>
      <c r="M63" s="19"/>
      <c r="N63" s="19"/>
      <c r="O63" s="19"/>
      <c r="P63" s="19"/>
      <c r="Q63" s="19"/>
      <c r="R63" s="21"/>
      <c r="S63" s="19"/>
      <c r="T63" s="21"/>
      <c r="U63" s="19"/>
    </row>
    <row r="64" spans="1:21">
      <c r="A64" s="19" t="s">
        <v>77</v>
      </c>
      <c r="B64" s="19">
        <v>48</v>
      </c>
      <c r="C64" t="s">
        <v>204</v>
      </c>
      <c r="D64" t="s">
        <v>247</v>
      </c>
      <c r="E64" s="19"/>
      <c r="F64" s="37">
        <v>46097</v>
      </c>
      <c r="G64" s="28">
        <v>46567</v>
      </c>
      <c r="H64" s="48">
        <f ca="1">IF(tblMicrosoftAssignments[[#This Row],[Expiry Date]]="","",tblMicrosoftAssignments[[#This Row],[Expiry Date]]-TODAY())</f>
        <v>288</v>
      </c>
      <c r="I64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64" s="19" t="str">
        <f>IF(tblMicrosoftAssignments[[#This Row],[User Name]]="","Unassigned","Assigned")</f>
        <v>Assigned</v>
      </c>
      <c r="K64" s="19"/>
      <c r="L64" s="19"/>
      <c r="M64" s="19"/>
      <c r="N64" s="19"/>
      <c r="O64" s="19"/>
      <c r="P64" s="19"/>
      <c r="Q64" s="19"/>
      <c r="R64" s="21"/>
      <c r="S64" s="19"/>
      <c r="T64" s="21"/>
      <c r="U64" s="19"/>
    </row>
    <row r="65" spans="1:21">
      <c r="A65" s="19" t="s">
        <v>77</v>
      </c>
      <c r="B65" s="19">
        <v>49</v>
      </c>
      <c r="C65" t="s">
        <v>205</v>
      </c>
      <c r="D65" t="s">
        <v>116</v>
      </c>
      <c r="E65" s="19"/>
      <c r="F65" s="37">
        <v>46038</v>
      </c>
      <c r="G65" s="28">
        <v>46567</v>
      </c>
      <c r="H65" s="48">
        <f ca="1">IF(tblMicrosoftAssignments[[#This Row],[Expiry Date]]="","",tblMicrosoftAssignments[[#This Row],[Expiry Date]]-TODAY())</f>
        <v>288</v>
      </c>
      <c r="I65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65" s="19" t="str">
        <f>IF(tblMicrosoftAssignments[[#This Row],[User Name]]="","Unassigned","Assigned")</f>
        <v>Assigned</v>
      </c>
      <c r="K65" s="19"/>
      <c r="L65" s="19"/>
      <c r="M65" s="19"/>
      <c r="N65" s="19"/>
      <c r="O65" s="19"/>
      <c r="P65" s="19"/>
      <c r="Q65" s="19"/>
      <c r="R65" s="21"/>
      <c r="S65" s="19"/>
      <c r="T65" s="21"/>
      <c r="U65" s="19"/>
    </row>
    <row r="66" spans="1:21">
      <c r="A66" s="19" t="s">
        <v>77</v>
      </c>
      <c r="B66" s="19">
        <v>50</v>
      </c>
      <c r="C66" t="s">
        <v>141</v>
      </c>
      <c r="D66" t="s">
        <v>163</v>
      </c>
      <c r="E66" s="19"/>
      <c r="F66" s="37">
        <v>44767</v>
      </c>
      <c r="G66" s="28">
        <v>46567</v>
      </c>
      <c r="H66" s="48">
        <f ca="1">IF(tblMicrosoftAssignments[[#This Row],[Expiry Date]]="","",tblMicrosoftAssignments[[#This Row],[Expiry Date]]-TODAY())</f>
        <v>288</v>
      </c>
      <c r="I66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66" s="19" t="str">
        <f>IF(tblMicrosoftAssignments[[#This Row],[User Name]]="","Unassigned","Assigned")</f>
        <v>Assigned</v>
      </c>
      <c r="K66" s="19"/>
      <c r="L66" s="19"/>
      <c r="M66" s="19"/>
      <c r="N66" s="19"/>
      <c r="O66" s="19"/>
      <c r="P66" s="19"/>
      <c r="Q66" s="19"/>
      <c r="R66" s="21"/>
      <c r="S66" s="19"/>
      <c r="T66" s="21"/>
      <c r="U66" s="19"/>
    </row>
    <row r="67" spans="1:21">
      <c r="A67" s="19" t="s">
        <v>77</v>
      </c>
      <c r="B67" s="19">
        <v>51</v>
      </c>
      <c r="C67" t="s">
        <v>206</v>
      </c>
      <c r="D67" t="s">
        <v>248</v>
      </c>
      <c r="E67" s="19"/>
      <c r="F67" s="37">
        <v>46020</v>
      </c>
      <c r="G67" s="28">
        <v>46567</v>
      </c>
      <c r="H67" s="48">
        <f ca="1">IF(tblMicrosoftAssignments[[#This Row],[Expiry Date]]="","",tblMicrosoftAssignments[[#This Row],[Expiry Date]]-TODAY())</f>
        <v>288</v>
      </c>
      <c r="I67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67" s="19" t="str">
        <f>IF(tblMicrosoftAssignments[[#This Row],[User Name]]="","Unassigned","Assigned")</f>
        <v>Assigned</v>
      </c>
      <c r="K67" s="19"/>
      <c r="L67" s="19"/>
      <c r="M67" s="19"/>
      <c r="N67" s="19"/>
      <c r="O67" s="19"/>
      <c r="P67" s="19"/>
      <c r="Q67" s="19"/>
      <c r="R67" s="21"/>
      <c r="S67" s="19"/>
      <c r="T67" s="21"/>
      <c r="U67" s="19"/>
    </row>
    <row r="68" spans="1:21">
      <c r="A68" s="19" t="s">
        <v>77</v>
      </c>
      <c r="B68" s="19">
        <v>52</v>
      </c>
      <c r="C68" t="s">
        <v>171</v>
      </c>
      <c r="D68" t="s">
        <v>169</v>
      </c>
      <c r="E68" s="19"/>
      <c r="F68" s="37">
        <v>46274</v>
      </c>
      <c r="G68" s="28">
        <v>46567</v>
      </c>
      <c r="H68" s="48">
        <f ca="1">IF(tblMicrosoftAssignments[[#This Row],[Expiry Date]]="","",tblMicrosoftAssignments[[#This Row],[Expiry Date]]-TODAY())</f>
        <v>288</v>
      </c>
      <c r="I68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68" s="19" t="str">
        <f>IF(tblMicrosoftAssignments[[#This Row],[User Name]]="","Unassigned","Assigned")</f>
        <v>Assigned</v>
      </c>
      <c r="K68" s="19"/>
      <c r="L68" s="19"/>
      <c r="M68" s="19"/>
      <c r="N68" s="19"/>
      <c r="O68" s="19"/>
      <c r="P68" s="19"/>
      <c r="Q68" s="19"/>
      <c r="R68" s="21"/>
      <c r="S68" s="19"/>
      <c r="T68" s="21"/>
      <c r="U68" s="19"/>
    </row>
    <row r="69" spans="1:21">
      <c r="A69" s="19" t="s">
        <v>77</v>
      </c>
      <c r="B69" s="19">
        <v>53</v>
      </c>
      <c r="C69" t="s">
        <v>172</v>
      </c>
      <c r="D69" t="s">
        <v>170</v>
      </c>
      <c r="E69" s="19"/>
      <c r="F69" s="37">
        <v>46274</v>
      </c>
      <c r="G69" s="28">
        <v>46567</v>
      </c>
      <c r="H69" s="48">
        <f ca="1">IF(tblMicrosoftAssignments[[#This Row],[Expiry Date]]="","",tblMicrosoftAssignments[[#This Row],[Expiry Date]]-TODAY())</f>
        <v>288</v>
      </c>
      <c r="I69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69" s="19" t="str">
        <f>IF(tblMicrosoftAssignments[[#This Row],[User Name]]="","Unassigned","Assigned")</f>
        <v>Assigned</v>
      </c>
      <c r="K69" s="19"/>
      <c r="L69" s="19"/>
      <c r="M69" s="19"/>
      <c r="N69" s="19"/>
      <c r="O69" s="19"/>
      <c r="P69" s="19"/>
      <c r="Q69" s="19"/>
      <c r="R69" s="21"/>
      <c r="S69" s="19"/>
      <c r="T69" s="21"/>
      <c r="U69" s="19"/>
    </row>
    <row r="70" spans="1:21">
      <c r="A70" s="19" t="s">
        <v>77</v>
      </c>
      <c r="B70" s="19">
        <v>54</v>
      </c>
      <c r="C70" t="s">
        <v>207</v>
      </c>
      <c r="D70" t="s">
        <v>249</v>
      </c>
      <c r="E70" s="19"/>
      <c r="F70" s="37">
        <v>45722</v>
      </c>
      <c r="G70" s="28">
        <v>46567</v>
      </c>
      <c r="H70" s="48">
        <f ca="1">IF(tblMicrosoftAssignments[[#This Row],[Expiry Date]]="","",tblMicrosoftAssignments[[#This Row],[Expiry Date]]-TODAY())</f>
        <v>288</v>
      </c>
      <c r="I70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70" s="19" t="str">
        <f>IF(tblMicrosoftAssignments[[#This Row],[User Name]]="","Unassigned","Assigned")</f>
        <v>Assigned</v>
      </c>
      <c r="K70" s="19"/>
      <c r="L70" s="19"/>
      <c r="M70" s="19"/>
      <c r="N70" s="19"/>
      <c r="O70" s="19"/>
      <c r="P70" s="19"/>
      <c r="Q70" s="19"/>
      <c r="R70" s="21"/>
      <c r="S70" s="19"/>
      <c r="T70" s="21"/>
      <c r="U70" s="19"/>
    </row>
    <row r="71" spans="1:21">
      <c r="A71" s="19" t="s">
        <v>77</v>
      </c>
      <c r="B71" s="19">
        <v>55</v>
      </c>
      <c r="C71" t="s">
        <v>142</v>
      </c>
      <c r="D71" t="s">
        <v>164</v>
      </c>
      <c r="E71" s="19"/>
      <c r="F71" s="37">
        <v>45722</v>
      </c>
      <c r="G71" s="28">
        <v>46567</v>
      </c>
      <c r="H71" s="48">
        <f ca="1">IF(tblMicrosoftAssignments[[#This Row],[Expiry Date]]="","",tblMicrosoftAssignments[[#This Row],[Expiry Date]]-TODAY())</f>
        <v>288</v>
      </c>
      <c r="I71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71" s="19" t="str">
        <f>IF(tblMicrosoftAssignments[[#This Row],[User Name]]="","Unassigned","Assigned")</f>
        <v>Assigned</v>
      </c>
      <c r="K71" s="19"/>
      <c r="L71" s="19"/>
      <c r="M71" s="19"/>
      <c r="N71" s="19"/>
      <c r="O71" s="19"/>
      <c r="P71" s="19"/>
      <c r="Q71" s="19"/>
      <c r="R71" s="21"/>
      <c r="S71" s="19"/>
      <c r="T71" s="21"/>
      <c r="U71" s="19"/>
    </row>
    <row r="72" spans="1:21">
      <c r="A72" s="19" t="s">
        <v>77</v>
      </c>
      <c r="B72" s="19">
        <v>56</v>
      </c>
      <c r="C72" t="s">
        <v>208</v>
      </c>
      <c r="D72" t="s">
        <v>250</v>
      </c>
      <c r="E72" s="19"/>
      <c r="F72" s="37">
        <v>45722</v>
      </c>
      <c r="G72" s="28">
        <v>46567</v>
      </c>
      <c r="H72" s="48">
        <f ca="1">IF(tblMicrosoftAssignments[[#This Row],[Expiry Date]]="","",tblMicrosoftAssignments[[#This Row],[Expiry Date]]-TODAY())</f>
        <v>288</v>
      </c>
      <c r="I72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72" s="19" t="str">
        <f>IF(tblMicrosoftAssignments[[#This Row],[User Name]]="","Unassigned","Assigned")</f>
        <v>Assigned</v>
      </c>
      <c r="K72" s="19"/>
      <c r="L72" s="19"/>
      <c r="M72" s="19"/>
      <c r="N72" s="19"/>
      <c r="O72" s="19"/>
      <c r="P72" s="19"/>
      <c r="Q72" s="19"/>
      <c r="R72" s="21"/>
      <c r="S72" s="19"/>
      <c r="T72" s="21"/>
      <c r="U72" s="19"/>
    </row>
    <row r="73" spans="1:21">
      <c r="A73" s="19" t="s">
        <v>77</v>
      </c>
      <c r="B73" s="19">
        <v>57</v>
      </c>
      <c r="C73" t="s">
        <v>209</v>
      </c>
      <c r="D73" t="s">
        <v>251</v>
      </c>
      <c r="E73" s="19"/>
      <c r="F73" s="37">
        <v>45722</v>
      </c>
      <c r="G73" s="28">
        <v>46567</v>
      </c>
      <c r="H73" s="48">
        <f ca="1">IF(tblMicrosoftAssignments[[#This Row],[Expiry Date]]="","",tblMicrosoftAssignments[[#This Row],[Expiry Date]]-TODAY())</f>
        <v>288</v>
      </c>
      <c r="I73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73" s="19" t="str">
        <f>IF(tblMicrosoftAssignments[[#This Row],[User Name]]="","Unassigned","Assigned")</f>
        <v>Assigned</v>
      </c>
      <c r="K73" s="19"/>
      <c r="L73" s="19"/>
      <c r="M73" s="19"/>
      <c r="N73" s="19"/>
      <c r="O73" s="19"/>
      <c r="P73" s="19"/>
      <c r="Q73" s="19"/>
      <c r="R73" s="21"/>
      <c r="S73" s="19"/>
      <c r="T73" s="21"/>
      <c r="U73" s="19"/>
    </row>
    <row r="74" spans="1:21">
      <c r="A74" s="19" t="s">
        <v>77</v>
      </c>
      <c r="B74" s="19">
        <v>58</v>
      </c>
      <c r="C74" t="s">
        <v>210</v>
      </c>
      <c r="D74" t="s">
        <v>252</v>
      </c>
      <c r="E74" s="19"/>
      <c r="F74" s="37">
        <v>45722</v>
      </c>
      <c r="G74" s="28">
        <v>46567</v>
      </c>
      <c r="H74" s="48">
        <f ca="1">IF(tblMicrosoftAssignments[[#This Row],[Expiry Date]]="","",tblMicrosoftAssignments[[#This Row],[Expiry Date]]-TODAY())</f>
        <v>288</v>
      </c>
      <c r="I74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74" s="19" t="str">
        <f>IF(tblMicrosoftAssignments[[#This Row],[User Name]]="","Unassigned","Assigned")</f>
        <v>Assigned</v>
      </c>
      <c r="K74" s="19"/>
      <c r="L74" s="19"/>
      <c r="M74" s="19"/>
      <c r="N74" s="19"/>
      <c r="O74" s="19"/>
      <c r="P74" s="19"/>
      <c r="Q74" s="19"/>
      <c r="R74" s="21"/>
      <c r="S74" s="19"/>
      <c r="T74" s="21"/>
      <c r="U74" s="19"/>
    </row>
    <row r="75" spans="1:21">
      <c r="A75" s="19" t="s">
        <v>77</v>
      </c>
      <c r="B75" s="19">
        <v>59</v>
      </c>
      <c r="C75" t="s">
        <v>211</v>
      </c>
      <c r="D75" t="s">
        <v>253</v>
      </c>
      <c r="E75" s="19"/>
      <c r="F75" s="37">
        <v>46041</v>
      </c>
      <c r="G75" s="28">
        <v>46567</v>
      </c>
      <c r="H75" s="48">
        <f ca="1">IF(tblMicrosoftAssignments[[#This Row],[Expiry Date]]="","",tblMicrosoftAssignments[[#This Row],[Expiry Date]]-TODAY())</f>
        <v>288</v>
      </c>
      <c r="I75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75" s="19" t="str">
        <f>IF(tblMicrosoftAssignments[[#This Row],[User Name]]="","Unassigned","Assigned")</f>
        <v>Assigned</v>
      </c>
      <c r="K75" s="19"/>
      <c r="L75" s="19"/>
      <c r="M75" s="19"/>
      <c r="N75" s="19"/>
      <c r="O75" s="19"/>
      <c r="P75" s="19"/>
      <c r="Q75" s="19"/>
      <c r="R75" s="21"/>
      <c r="S75" s="19"/>
      <c r="T75" s="21"/>
      <c r="U75" s="19"/>
    </row>
    <row r="76" spans="1:21">
      <c r="A76" s="19" t="s">
        <v>77</v>
      </c>
      <c r="B76" s="19">
        <v>60</v>
      </c>
      <c r="C76" t="s">
        <v>212</v>
      </c>
      <c r="D76" t="s">
        <v>254</v>
      </c>
      <c r="E76" s="19"/>
      <c r="F76" s="37">
        <v>45722</v>
      </c>
      <c r="G76" s="28">
        <v>46567</v>
      </c>
      <c r="H76" s="48">
        <f ca="1">IF(tblMicrosoftAssignments[[#This Row],[Expiry Date]]="","",tblMicrosoftAssignments[[#This Row],[Expiry Date]]-TODAY())</f>
        <v>288</v>
      </c>
      <c r="I76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76" s="19" t="str">
        <f>IF(tblMicrosoftAssignments[[#This Row],[User Name]]="","Unassigned","Assigned")</f>
        <v>Assigned</v>
      </c>
      <c r="K76" s="19"/>
      <c r="L76" s="19"/>
      <c r="M76" s="19"/>
      <c r="N76" s="19"/>
      <c r="O76" s="19"/>
      <c r="P76" s="19"/>
      <c r="Q76" s="19"/>
      <c r="R76" s="21"/>
      <c r="S76" s="19"/>
      <c r="T76" s="21"/>
      <c r="U76" s="19"/>
    </row>
    <row r="77" spans="1:21">
      <c r="A77" s="19" t="s">
        <v>77</v>
      </c>
      <c r="B77" s="19">
        <v>61</v>
      </c>
      <c r="C77" t="s">
        <v>213</v>
      </c>
      <c r="D77" t="s">
        <v>255</v>
      </c>
      <c r="E77" s="19"/>
      <c r="F77" s="37">
        <v>45722</v>
      </c>
      <c r="G77" s="28">
        <v>46567</v>
      </c>
      <c r="H77" s="48">
        <f ca="1">IF(tblMicrosoftAssignments[[#This Row],[Expiry Date]]="","",tblMicrosoftAssignments[[#This Row],[Expiry Date]]-TODAY())</f>
        <v>288</v>
      </c>
      <c r="I77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77" s="19" t="str">
        <f>IF(tblMicrosoftAssignments[[#This Row],[User Name]]="","Unassigned","Assigned")</f>
        <v>Assigned</v>
      </c>
      <c r="K77" s="19"/>
      <c r="L77" s="19"/>
      <c r="M77" s="19"/>
      <c r="N77" s="19"/>
      <c r="O77" s="19"/>
      <c r="P77" s="19"/>
      <c r="Q77" s="19"/>
      <c r="R77" s="21"/>
      <c r="S77" s="19"/>
      <c r="T77" s="21"/>
      <c r="U77" s="19"/>
    </row>
    <row r="78" spans="1:21">
      <c r="A78" s="19" t="s">
        <v>77</v>
      </c>
      <c r="B78" s="19">
        <v>62</v>
      </c>
      <c r="C78" t="s">
        <v>214</v>
      </c>
      <c r="D78" t="s">
        <v>256</v>
      </c>
      <c r="E78" s="19"/>
      <c r="F78" s="37">
        <v>45722</v>
      </c>
      <c r="G78" s="28">
        <v>46567</v>
      </c>
      <c r="H78" s="48">
        <f ca="1">IF(tblMicrosoftAssignments[[#This Row],[Expiry Date]]="","",tblMicrosoftAssignments[[#This Row],[Expiry Date]]-TODAY())</f>
        <v>288</v>
      </c>
      <c r="I78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78" s="19" t="str">
        <f>IF(tblMicrosoftAssignments[[#This Row],[User Name]]="","Unassigned","Assigned")</f>
        <v>Assigned</v>
      </c>
      <c r="K78" s="19"/>
      <c r="L78" s="19"/>
      <c r="M78" s="19"/>
      <c r="N78" s="19"/>
      <c r="O78" s="19"/>
      <c r="P78" s="19"/>
      <c r="Q78" s="19"/>
      <c r="R78" s="21"/>
      <c r="S78" s="19"/>
      <c r="T78" s="21"/>
      <c r="U78" s="19"/>
    </row>
    <row r="79" spans="1:21">
      <c r="A79" s="19" t="s">
        <v>77</v>
      </c>
      <c r="B79" s="19">
        <v>63</v>
      </c>
      <c r="C79" t="s">
        <v>215</v>
      </c>
      <c r="D79" t="s">
        <v>257</v>
      </c>
      <c r="E79" s="19"/>
      <c r="F79" s="37">
        <v>45982</v>
      </c>
      <c r="G79" s="28">
        <v>46567</v>
      </c>
      <c r="H79" s="48">
        <f ca="1">IF(tblMicrosoftAssignments[[#This Row],[Expiry Date]]="","",tblMicrosoftAssignments[[#This Row],[Expiry Date]]-TODAY())</f>
        <v>288</v>
      </c>
      <c r="I79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79" s="19" t="str">
        <f>IF(tblMicrosoftAssignments[[#This Row],[User Name]]="","Unassigned","Assigned")</f>
        <v>Assigned</v>
      </c>
      <c r="K79" s="19"/>
      <c r="L79" s="19"/>
      <c r="M79" s="19"/>
      <c r="N79" s="19"/>
      <c r="O79" s="19"/>
      <c r="P79" s="19"/>
      <c r="Q79" s="19"/>
      <c r="R79" s="21"/>
      <c r="S79" s="19"/>
      <c r="T79" s="21"/>
      <c r="U79" s="19"/>
    </row>
    <row r="80" spans="1:21">
      <c r="A80" s="19" t="s">
        <v>77</v>
      </c>
      <c r="B80" s="19">
        <v>64</v>
      </c>
      <c r="C80" t="s">
        <v>143</v>
      </c>
      <c r="D80" t="s">
        <v>165</v>
      </c>
      <c r="E80" s="19"/>
      <c r="F80" s="37">
        <v>45722</v>
      </c>
      <c r="G80" s="28">
        <v>46567</v>
      </c>
      <c r="H80" s="48">
        <f ca="1">IF(tblMicrosoftAssignments[[#This Row],[Expiry Date]]="","",tblMicrosoftAssignments[[#This Row],[Expiry Date]]-TODAY())</f>
        <v>288</v>
      </c>
      <c r="I80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80" s="19" t="str">
        <f>IF(tblMicrosoftAssignments[[#This Row],[User Name]]="","Unassigned","Assigned")</f>
        <v>Assigned</v>
      </c>
      <c r="K80" s="19"/>
      <c r="L80" s="19"/>
      <c r="M80" s="19"/>
      <c r="N80" s="19"/>
      <c r="O80" s="19"/>
      <c r="P80" s="19"/>
      <c r="Q80" s="19"/>
      <c r="R80" s="21"/>
      <c r="S80" s="19"/>
      <c r="T80" s="21"/>
      <c r="U80" s="19"/>
    </row>
    <row r="81" spans="1:21">
      <c r="A81" s="19" t="s">
        <v>77</v>
      </c>
      <c r="B81" s="19">
        <v>65</v>
      </c>
      <c r="C81" t="s">
        <v>144</v>
      </c>
      <c r="D81" t="s">
        <v>166</v>
      </c>
      <c r="E81" s="19"/>
      <c r="F81" s="37">
        <v>45624</v>
      </c>
      <c r="G81" s="28">
        <v>46567</v>
      </c>
      <c r="H81" s="48">
        <f ca="1">IF(tblMicrosoftAssignments[[#This Row],[Expiry Date]]="","",tblMicrosoftAssignments[[#This Row],[Expiry Date]]-TODAY())</f>
        <v>288</v>
      </c>
      <c r="I81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81" s="19" t="str">
        <f>IF(tblMicrosoftAssignments[[#This Row],[User Name]]="","Unassigned","Assigned")</f>
        <v>Assigned</v>
      </c>
      <c r="K81" s="19"/>
      <c r="L81" s="19"/>
      <c r="M81" s="19"/>
      <c r="N81" s="19"/>
      <c r="O81" s="19"/>
      <c r="P81" s="19"/>
      <c r="Q81" s="19"/>
      <c r="R81" s="21"/>
      <c r="S81" s="19"/>
      <c r="T81" s="21"/>
      <c r="U81" s="19"/>
    </row>
    <row r="82" spans="1:21">
      <c r="A82" s="19" t="s">
        <v>77</v>
      </c>
      <c r="B82" s="19">
        <v>66</v>
      </c>
      <c r="C82" t="s">
        <v>216</v>
      </c>
      <c r="D82" t="s">
        <v>258</v>
      </c>
      <c r="E82" s="19"/>
      <c r="F82" s="37">
        <v>45722</v>
      </c>
      <c r="G82" s="28">
        <v>46567</v>
      </c>
      <c r="H82" s="48">
        <f ca="1">IF(tblMicrosoftAssignments[[#This Row],[Expiry Date]]="","",tblMicrosoftAssignments[[#This Row],[Expiry Date]]-TODAY())</f>
        <v>288</v>
      </c>
      <c r="I82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82" s="19" t="str">
        <f>IF(tblMicrosoftAssignments[[#This Row],[User Name]]="","Unassigned","Assigned")</f>
        <v>Assigned</v>
      </c>
      <c r="K82" s="19"/>
      <c r="L82" s="19"/>
      <c r="M82" s="19"/>
      <c r="N82" s="19"/>
      <c r="O82" s="19"/>
      <c r="P82" s="19"/>
      <c r="Q82" s="19"/>
      <c r="R82" s="21"/>
      <c r="S82" s="19"/>
      <c r="T82" s="21"/>
      <c r="U82" s="19"/>
    </row>
    <row r="83" spans="1:21">
      <c r="A83" s="19" t="s">
        <v>77</v>
      </c>
      <c r="B83" s="19">
        <v>67</v>
      </c>
      <c r="C83" t="s">
        <v>145</v>
      </c>
      <c r="D83" t="s">
        <v>167</v>
      </c>
      <c r="E83" s="19"/>
      <c r="F83" s="37">
        <v>45609</v>
      </c>
      <c r="G83" s="28">
        <v>46567</v>
      </c>
      <c r="H83" s="48">
        <f ca="1">IF(tblMicrosoftAssignments[[#This Row],[Expiry Date]]="","",tblMicrosoftAssignments[[#This Row],[Expiry Date]]-TODAY())</f>
        <v>288</v>
      </c>
      <c r="I83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83" s="19" t="str">
        <f>IF(tblMicrosoftAssignments[[#This Row],[User Name]]="","Unassigned","Assigned")</f>
        <v>Assigned</v>
      </c>
      <c r="K83" s="19"/>
      <c r="L83" s="19"/>
      <c r="M83" s="19"/>
      <c r="N83" s="19"/>
      <c r="O83" s="19"/>
      <c r="P83" s="19"/>
      <c r="Q83" s="19"/>
      <c r="R83" s="21"/>
      <c r="S83" s="19"/>
      <c r="T83" s="21"/>
      <c r="U83" s="19"/>
    </row>
    <row r="84" spans="1:21">
      <c r="A84" s="19" t="s">
        <v>77</v>
      </c>
      <c r="B84" s="19">
        <v>68</v>
      </c>
      <c r="C84" t="s">
        <v>146</v>
      </c>
      <c r="D84" t="s">
        <v>168</v>
      </c>
      <c r="E84" s="19"/>
      <c r="F84" s="37">
        <v>45965</v>
      </c>
      <c r="G84" s="28">
        <v>46567</v>
      </c>
      <c r="H84" s="48">
        <f ca="1">IF(tblMicrosoftAssignments[[#This Row],[Expiry Date]]="","",tblMicrosoftAssignments[[#This Row],[Expiry Date]]-TODAY())</f>
        <v>288</v>
      </c>
      <c r="I84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84" s="19" t="str">
        <f>IF(tblMicrosoftAssignments[[#This Row],[User Name]]="","Unassigned","Assigned")</f>
        <v>Assigned</v>
      </c>
      <c r="K84" s="19"/>
      <c r="L84" s="19"/>
      <c r="M84" s="19"/>
      <c r="N84" s="19"/>
      <c r="O84" s="19"/>
      <c r="P84" s="19"/>
      <c r="Q84" s="19"/>
      <c r="R84" s="21"/>
      <c r="S84" s="19"/>
      <c r="T84" s="21"/>
      <c r="U84" s="19"/>
    </row>
    <row r="85" spans="1:21">
      <c r="A85" s="19" t="s">
        <v>77</v>
      </c>
      <c r="B85" s="19">
        <v>69</v>
      </c>
      <c r="C85" t="s">
        <v>217</v>
      </c>
      <c r="D85" t="s">
        <v>259</v>
      </c>
      <c r="E85" s="19"/>
      <c r="F85" s="37">
        <v>45722</v>
      </c>
      <c r="G85" s="28">
        <v>46567</v>
      </c>
      <c r="H85" s="48">
        <f ca="1">IF(tblMicrosoftAssignments[[#This Row],[Expiry Date]]="","",tblMicrosoftAssignments[[#This Row],[Expiry Date]]-TODAY())</f>
        <v>288</v>
      </c>
      <c r="I85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85" s="19" t="str">
        <f>IF(tblMicrosoftAssignments[[#This Row],[User Name]]="","Unassigned","Assigned")</f>
        <v>Assigned</v>
      </c>
      <c r="K85" s="19"/>
      <c r="L85" s="19"/>
      <c r="M85" s="19"/>
      <c r="N85" s="19"/>
      <c r="O85" s="19"/>
      <c r="P85" s="19"/>
      <c r="Q85" s="19"/>
      <c r="R85" s="21"/>
      <c r="S85" s="19"/>
      <c r="T85" s="21"/>
      <c r="U85" s="19"/>
    </row>
    <row r="86" spans="1:21">
      <c r="A86" s="19" t="s">
        <v>77</v>
      </c>
      <c r="B86" s="19">
        <v>70</v>
      </c>
      <c r="C86" t="s">
        <v>218</v>
      </c>
      <c r="D86" t="s">
        <v>260</v>
      </c>
      <c r="E86" s="19"/>
      <c r="F86" s="37">
        <v>45722</v>
      </c>
      <c r="G86" s="28">
        <v>46567</v>
      </c>
      <c r="H86" s="48">
        <f ca="1">IF(tblMicrosoftAssignments[[#This Row],[Expiry Date]]="","",tblMicrosoftAssignments[[#This Row],[Expiry Date]]-TODAY())</f>
        <v>288</v>
      </c>
      <c r="I86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86" s="19" t="str">
        <f>IF(tblMicrosoftAssignments[[#This Row],[User Name]]="","Unassigned","Assigned")</f>
        <v>Assigned</v>
      </c>
      <c r="K86" s="19"/>
      <c r="L86" s="19"/>
      <c r="M86" s="19"/>
      <c r="N86" s="19"/>
      <c r="O86" s="19"/>
      <c r="P86" s="19"/>
      <c r="Q86" s="19"/>
      <c r="R86" s="21"/>
      <c r="S86" s="19"/>
      <c r="T86" s="21"/>
      <c r="U86" s="19"/>
    </row>
    <row r="87" spans="1:21">
      <c r="A87" s="19" t="s">
        <v>77</v>
      </c>
      <c r="B87" s="19">
        <v>71</v>
      </c>
      <c r="C87" t="s">
        <v>219</v>
      </c>
      <c r="D87" t="s">
        <v>261</v>
      </c>
      <c r="E87" s="19"/>
      <c r="F87" s="37">
        <v>45722</v>
      </c>
      <c r="G87" s="28">
        <v>46567</v>
      </c>
      <c r="H87" s="48">
        <f ca="1">IF(tblMicrosoftAssignments[[#This Row],[Expiry Date]]="","",tblMicrosoftAssignments[[#This Row],[Expiry Date]]-TODAY())</f>
        <v>288</v>
      </c>
      <c r="I87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87" s="19" t="str">
        <f>IF(tblMicrosoftAssignments[[#This Row],[User Name]]="","Unassigned","Assigned")</f>
        <v>Assigned</v>
      </c>
      <c r="K87" s="19"/>
      <c r="L87" s="19"/>
      <c r="M87" s="19"/>
      <c r="N87" s="19"/>
      <c r="O87" s="19"/>
      <c r="P87" s="19"/>
      <c r="Q87" s="19"/>
      <c r="R87" s="21"/>
      <c r="S87" s="19"/>
      <c r="T87" s="21"/>
      <c r="U87" s="19"/>
    </row>
    <row r="88" spans="1:21">
      <c r="A88" s="19" t="s">
        <v>77</v>
      </c>
      <c r="B88" s="19">
        <v>72</v>
      </c>
      <c r="C88" t="s">
        <v>220</v>
      </c>
      <c r="D88" t="s">
        <v>262</v>
      </c>
      <c r="E88" s="19"/>
      <c r="F88" s="37">
        <v>45722</v>
      </c>
      <c r="G88" s="28">
        <v>46567</v>
      </c>
      <c r="H88" s="48">
        <f ca="1">IF(tblMicrosoftAssignments[[#This Row],[Expiry Date]]="","",tblMicrosoftAssignments[[#This Row],[Expiry Date]]-TODAY())</f>
        <v>288</v>
      </c>
      <c r="I88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88" s="19" t="str">
        <f>IF(tblMicrosoftAssignments[[#This Row],[User Name]]="","Unassigned","Assigned")</f>
        <v>Assigned</v>
      </c>
      <c r="K88" s="19"/>
      <c r="L88" s="19"/>
      <c r="M88" s="19"/>
      <c r="N88" s="19"/>
      <c r="O88" s="19"/>
      <c r="P88" s="19"/>
      <c r="Q88" s="19"/>
      <c r="R88" s="21"/>
      <c r="S88" s="19"/>
      <c r="T88" s="21"/>
      <c r="U88" s="19"/>
    </row>
    <row r="89" spans="1:21">
      <c r="A89" s="19" t="s">
        <v>77</v>
      </c>
      <c r="B89" s="19">
        <v>73</v>
      </c>
      <c r="C89" t="s">
        <v>113</v>
      </c>
      <c r="D89" t="s">
        <v>97</v>
      </c>
      <c r="E89" s="19"/>
      <c r="F89" s="37">
        <v>45722</v>
      </c>
      <c r="G89" s="28">
        <v>46567</v>
      </c>
      <c r="H89" s="48">
        <f ca="1">IF(tblMicrosoftAssignments[[#This Row],[Expiry Date]]="","",tblMicrosoftAssignments[[#This Row],[Expiry Date]]-TODAY())</f>
        <v>288</v>
      </c>
      <c r="I89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89" s="19" t="str">
        <f>IF(tblMicrosoftAssignments[[#This Row],[User Name]]="","Unassigned","Assigned")</f>
        <v>Assigned</v>
      </c>
      <c r="K89" s="19"/>
      <c r="L89" s="19"/>
      <c r="M89" s="19"/>
      <c r="N89" s="19"/>
      <c r="O89" s="19"/>
      <c r="P89" s="19"/>
      <c r="Q89" s="19"/>
      <c r="R89" s="21"/>
      <c r="S89" s="19"/>
      <c r="T89" s="21"/>
      <c r="U89" s="19"/>
    </row>
    <row r="90" spans="1:21">
      <c r="A90" s="19" t="s">
        <v>78</v>
      </c>
      <c r="B90" s="19">
        <v>1</v>
      </c>
      <c r="C90" t="s">
        <v>123</v>
      </c>
      <c r="D90" t="s">
        <v>147</v>
      </c>
      <c r="E90" s="19"/>
      <c r="F90" s="37">
        <v>45722</v>
      </c>
      <c r="G90" s="28">
        <v>46567</v>
      </c>
      <c r="H90" s="48">
        <f ca="1">IF(tblMicrosoftAssignments[[#This Row],[Expiry Date]]="","",tblMicrosoftAssignments[[#This Row],[Expiry Date]]-TODAY())</f>
        <v>288</v>
      </c>
      <c r="I90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90" s="19" t="str">
        <f>IF(tblMicrosoftAssignments[[#This Row],[User Name]]="","Unassigned","Assigned")</f>
        <v>Assigned</v>
      </c>
      <c r="K90" s="19"/>
      <c r="L90" s="19"/>
      <c r="M90" s="19"/>
      <c r="N90" s="19"/>
      <c r="O90" s="19"/>
      <c r="P90" s="19"/>
      <c r="Q90" s="19"/>
      <c r="R90" s="21"/>
      <c r="S90" s="19"/>
      <c r="T90" s="21"/>
      <c r="U90" s="19"/>
    </row>
    <row r="91" spans="1:21">
      <c r="A91" s="19" t="s">
        <v>78</v>
      </c>
      <c r="B91" s="19">
        <v>2</v>
      </c>
      <c r="C91" t="s">
        <v>124</v>
      </c>
      <c r="D91" t="s">
        <v>148</v>
      </c>
      <c r="E91" s="19"/>
      <c r="F91" s="37">
        <v>45722</v>
      </c>
      <c r="G91" s="28">
        <v>46567</v>
      </c>
      <c r="H91" s="48">
        <f ca="1">IF(tblMicrosoftAssignments[[#This Row],[Expiry Date]]="","",tblMicrosoftAssignments[[#This Row],[Expiry Date]]-TODAY())</f>
        <v>288</v>
      </c>
      <c r="I91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91" s="19" t="str">
        <f>IF(tblMicrosoftAssignments[[#This Row],[User Name]]="","Unassigned","Assigned")</f>
        <v>Assigned</v>
      </c>
      <c r="K91" s="19"/>
      <c r="L91" s="19"/>
      <c r="M91" s="19"/>
      <c r="N91" s="19"/>
      <c r="O91" s="19"/>
      <c r="P91" s="19"/>
      <c r="Q91" s="19"/>
      <c r="R91" s="21"/>
      <c r="S91" s="19"/>
      <c r="T91" s="21"/>
      <c r="U91" s="19"/>
    </row>
    <row r="92" spans="1:21">
      <c r="A92" s="19" t="s">
        <v>78</v>
      </c>
      <c r="B92" s="19">
        <v>3</v>
      </c>
      <c r="C92" t="s">
        <v>125</v>
      </c>
      <c r="D92" t="s">
        <v>149</v>
      </c>
      <c r="E92" s="19"/>
      <c r="F92" s="37">
        <v>45722</v>
      </c>
      <c r="G92" s="28">
        <v>46567</v>
      </c>
      <c r="H92" s="48">
        <f ca="1">IF(tblMicrosoftAssignments[[#This Row],[Expiry Date]]="","",tblMicrosoftAssignments[[#This Row],[Expiry Date]]-TODAY())</f>
        <v>288</v>
      </c>
      <c r="I92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92" s="19" t="str">
        <f>IF(tblMicrosoftAssignments[[#This Row],[User Name]]="","Unassigned","Assigned")</f>
        <v>Assigned</v>
      </c>
      <c r="K92" s="19"/>
      <c r="L92" s="19"/>
      <c r="M92" s="19"/>
      <c r="N92" s="19"/>
      <c r="O92" s="19"/>
      <c r="P92" s="19"/>
      <c r="Q92" s="19"/>
      <c r="R92" s="21"/>
      <c r="S92" s="19"/>
      <c r="T92" s="21"/>
      <c r="U92" s="19"/>
    </row>
    <row r="93" spans="1:21">
      <c r="A93" s="19" t="s">
        <v>78</v>
      </c>
      <c r="B93" s="19">
        <v>4</v>
      </c>
      <c r="C93" t="s">
        <v>126</v>
      </c>
      <c r="D93" t="s">
        <v>150</v>
      </c>
      <c r="E93" s="19"/>
      <c r="F93" s="37">
        <v>46100</v>
      </c>
      <c r="G93" s="28">
        <v>46567</v>
      </c>
      <c r="H93" s="48">
        <f ca="1">IF(tblMicrosoftAssignments[[#This Row],[Expiry Date]]="","",tblMicrosoftAssignments[[#This Row],[Expiry Date]]-TODAY())</f>
        <v>288</v>
      </c>
      <c r="I93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93" s="19" t="str">
        <f>IF(tblMicrosoftAssignments[[#This Row],[User Name]]="","Unassigned","Assigned")</f>
        <v>Assigned</v>
      </c>
      <c r="K93" s="19"/>
      <c r="L93" s="19"/>
      <c r="M93" s="19"/>
      <c r="N93" s="19"/>
      <c r="O93" s="19"/>
      <c r="P93" s="19"/>
      <c r="Q93" s="19"/>
      <c r="R93" s="21"/>
      <c r="S93" s="19"/>
      <c r="T93" s="21"/>
      <c r="U93" s="19"/>
    </row>
    <row r="94" spans="1:21">
      <c r="A94" s="19" t="s">
        <v>78</v>
      </c>
      <c r="B94" s="19">
        <v>5</v>
      </c>
      <c r="C94" t="s">
        <v>127</v>
      </c>
      <c r="D94" t="s">
        <v>151</v>
      </c>
      <c r="E94" s="19"/>
      <c r="F94" s="37">
        <v>45722</v>
      </c>
      <c r="G94" s="28">
        <v>46567</v>
      </c>
      <c r="H94" s="48">
        <f ca="1">IF(tblMicrosoftAssignments[[#This Row],[Expiry Date]]="","",tblMicrosoftAssignments[[#This Row],[Expiry Date]]-TODAY())</f>
        <v>288</v>
      </c>
      <c r="I94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94" s="19" t="str">
        <f>IF(tblMicrosoftAssignments[[#This Row],[User Name]]="","Unassigned","Assigned")</f>
        <v>Assigned</v>
      </c>
      <c r="K94" s="19"/>
      <c r="L94" s="19"/>
      <c r="M94" s="19"/>
      <c r="N94" s="19"/>
      <c r="O94" s="19"/>
      <c r="P94" s="19"/>
      <c r="Q94" s="19"/>
      <c r="R94" s="21"/>
      <c r="S94" s="19"/>
      <c r="T94" s="21"/>
      <c r="U94" s="19"/>
    </row>
    <row r="95" spans="1:21">
      <c r="A95" s="19" t="s">
        <v>78</v>
      </c>
      <c r="B95" s="19">
        <v>6</v>
      </c>
      <c r="C95" t="s">
        <v>128</v>
      </c>
      <c r="D95" t="s">
        <v>152</v>
      </c>
      <c r="E95" s="19"/>
      <c r="F95" s="37">
        <v>44767</v>
      </c>
      <c r="G95" s="28">
        <v>46567</v>
      </c>
      <c r="H95" s="48">
        <f ca="1">IF(tblMicrosoftAssignments[[#This Row],[Expiry Date]]="","",tblMicrosoftAssignments[[#This Row],[Expiry Date]]-TODAY())</f>
        <v>288</v>
      </c>
      <c r="I95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95" s="19" t="str">
        <f>IF(tblMicrosoftAssignments[[#This Row],[User Name]]="","Unassigned","Assigned")</f>
        <v>Assigned</v>
      </c>
      <c r="K95" s="19"/>
      <c r="L95" s="19"/>
      <c r="M95" s="19"/>
      <c r="N95" s="19"/>
      <c r="O95" s="19"/>
      <c r="P95" s="19"/>
      <c r="Q95" s="19"/>
      <c r="R95" s="21"/>
      <c r="S95" s="19"/>
      <c r="T95" s="21"/>
      <c r="U95" s="19"/>
    </row>
    <row r="96" spans="1:21">
      <c r="A96" s="19" t="s">
        <v>78</v>
      </c>
      <c r="B96" s="19">
        <v>7</v>
      </c>
      <c r="C96" t="s">
        <v>129</v>
      </c>
      <c r="D96" t="s">
        <v>153</v>
      </c>
      <c r="E96" s="19"/>
      <c r="F96" s="37">
        <v>45958</v>
      </c>
      <c r="G96" s="28">
        <v>46567</v>
      </c>
      <c r="H96" s="48">
        <f ca="1">IF(tblMicrosoftAssignments[[#This Row],[Expiry Date]]="","",tblMicrosoftAssignments[[#This Row],[Expiry Date]]-TODAY())</f>
        <v>288</v>
      </c>
      <c r="I96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96" s="19" t="str">
        <f>IF(tblMicrosoftAssignments[[#This Row],[User Name]]="","Unassigned","Assigned")</f>
        <v>Assigned</v>
      </c>
      <c r="K96" s="19"/>
      <c r="L96" s="19"/>
      <c r="M96" s="19"/>
      <c r="N96" s="19"/>
      <c r="O96" s="19"/>
      <c r="P96" s="19"/>
      <c r="Q96" s="19"/>
      <c r="R96" s="21"/>
      <c r="S96" s="19"/>
      <c r="T96" s="21"/>
      <c r="U96" s="19"/>
    </row>
    <row r="97" spans="1:21">
      <c r="A97" s="19" t="s">
        <v>78</v>
      </c>
      <c r="B97" s="19">
        <v>8</v>
      </c>
      <c r="C97" t="s">
        <v>130</v>
      </c>
      <c r="D97" t="s">
        <v>154</v>
      </c>
      <c r="E97" s="19"/>
      <c r="F97" s="37">
        <v>44767</v>
      </c>
      <c r="G97" s="28">
        <v>46567</v>
      </c>
      <c r="H97" s="48">
        <f ca="1">IF(tblMicrosoftAssignments[[#This Row],[Expiry Date]]="","",tblMicrosoftAssignments[[#This Row],[Expiry Date]]-TODAY())</f>
        <v>288</v>
      </c>
      <c r="I97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97" s="19" t="str">
        <f>IF(tblMicrosoftAssignments[[#This Row],[User Name]]="","Unassigned","Assigned")</f>
        <v>Assigned</v>
      </c>
      <c r="K97" s="19"/>
      <c r="L97" s="19"/>
      <c r="M97" s="19"/>
      <c r="N97" s="19"/>
      <c r="O97" s="19"/>
      <c r="P97" s="19"/>
      <c r="Q97" s="19"/>
      <c r="R97" s="21"/>
      <c r="S97" s="19"/>
      <c r="T97" s="21"/>
      <c r="U97" s="19"/>
    </row>
    <row r="98" spans="1:21">
      <c r="A98" s="19" t="s">
        <v>78</v>
      </c>
      <c r="B98" s="19">
        <v>9</v>
      </c>
      <c r="C98" t="s">
        <v>131</v>
      </c>
      <c r="D98" t="s">
        <v>155</v>
      </c>
      <c r="E98" s="19"/>
      <c r="F98" s="37">
        <v>45722</v>
      </c>
      <c r="G98" s="28">
        <v>46567</v>
      </c>
      <c r="H98" s="48">
        <f ca="1">IF(tblMicrosoftAssignments[[#This Row],[Expiry Date]]="","",tblMicrosoftAssignments[[#This Row],[Expiry Date]]-TODAY())</f>
        <v>288</v>
      </c>
      <c r="I98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98" s="19" t="str">
        <f>IF(tblMicrosoftAssignments[[#This Row],[User Name]]="","Unassigned","Assigned")</f>
        <v>Assigned</v>
      </c>
      <c r="K98" s="19"/>
      <c r="L98" s="19"/>
      <c r="M98" s="19"/>
      <c r="N98" s="19"/>
      <c r="O98" s="19"/>
      <c r="P98" s="19"/>
      <c r="Q98" s="19"/>
      <c r="R98" s="21"/>
      <c r="S98" s="19"/>
      <c r="T98" s="21"/>
      <c r="U98" s="19"/>
    </row>
    <row r="99" spans="1:21">
      <c r="A99" s="19" t="s">
        <v>78</v>
      </c>
      <c r="B99" s="19">
        <v>10</v>
      </c>
      <c r="C99" t="s">
        <v>132</v>
      </c>
      <c r="D99" t="s">
        <v>156</v>
      </c>
      <c r="E99" s="19"/>
      <c r="F99" s="37">
        <v>46021</v>
      </c>
      <c r="G99" s="28">
        <v>46567</v>
      </c>
      <c r="H99" s="48">
        <f ca="1">IF(tblMicrosoftAssignments[[#This Row],[Expiry Date]]="","",tblMicrosoftAssignments[[#This Row],[Expiry Date]]-TODAY())</f>
        <v>288</v>
      </c>
      <c r="I99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99" s="19" t="str">
        <f>IF(tblMicrosoftAssignments[[#This Row],[User Name]]="","Unassigned","Assigned")</f>
        <v>Assigned</v>
      </c>
      <c r="K99" s="19"/>
      <c r="L99" s="19"/>
      <c r="M99" s="19"/>
      <c r="N99" s="19"/>
      <c r="O99" s="19"/>
      <c r="P99" s="19"/>
      <c r="Q99" s="19"/>
      <c r="R99" s="21"/>
      <c r="S99" s="19"/>
      <c r="T99" s="21"/>
      <c r="U99" s="19"/>
    </row>
    <row r="100" spans="1:21">
      <c r="A100" s="19" t="s">
        <v>78</v>
      </c>
      <c r="B100" s="19">
        <v>11</v>
      </c>
      <c r="C100" t="s">
        <v>133</v>
      </c>
      <c r="D100" t="s">
        <v>157</v>
      </c>
      <c r="E100" s="19"/>
      <c r="F100" s="37">
        <v>45722</v>
      </c>
      <c r="G100" s="28">
        <v>46567</v>
      </c>
      <c r="H100" s="48">
        <f ca="1">IF(tblMicrosoftAssignments[[#This Row],[Expiry Date]]="","",tblMicrosoftAssignments[[#This Row],[Expiry Date]]-TODAY())</f>
        <v>288</v>
      </c>
      <c r="I100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100" s="19" t="str">
        <f>IF(tblMicrosoftAssignments[[#This Row],[User Name]]="","Unassigned","Assigned")</f>
        <v>Assigned</v>
      </c>
      <c r="K100" s="19"/>
      <c r="L100" s="19"/>
      <c r="M100" s="19"/>
      <c r="N100" s="19"/>
      <c r="O100" s="19"/>
      <c r="P100" s="19"/>
      <c r="Q100" s="19"/>
      <c r="R100" s="21"/>
      <c r="S100" s="19"/>
      <c r="T100" s="21"/>
      <c r="U100" s="19"/>
    </row>
    <row r="101" spans="1:21">
      <c r="A101" s="19" t="s">
        <v>78</v>
      </c>
      <c r="B101" s="19">
        <v>12</v>
      </c>
      <c r="C101" t="s">
        <v>134</v>
      </c>
      <c r="D101" t="s">
        <v>158</v>
      </c>
      <c r="E101" s="19"/>
      <c r="F101" s="37">
        <v>44767</v>
      </c>
      <c r="G101" s="28">
        <v>46567</v>
      </c>
      <c r="H101" s="48">
        <f ca="1">IF(tblMicrosoftAssignments[[#This Row],[Expiry Date]]="","",tblMicrosoftAssignments[[#This Row],[Expiry Date]]-TODAY())</f>
        <v>288</v>
      </c>
      <c r="I101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101" s="19" t="str">
        <f>IF(tblMicrosoftAssignments[[#This Row],[User Name]]="","Unassigned","Assigned")</f>
        <v>Assigned</v>
      </c>
      <c r="K101" s="19"/>
      <c r="L101" s="19"/>
      <c r="M101" s="19"/>
      <c r="N101" s="19"/>
      <c r="O101" s="19"/>
      <c r="P101" s="19"/>
      <c r="Q101" s="19"/>
      <c r="R101" s="21"/>
      <c r="S101" s="19"/>
      <c r="T101" s="21"/>
      <c r="U101" s="19"/>
    </row>
    <row r="102" spans="1:21">
      <c r="A102" s="19" t="s">
        <v>78</v>
      </c>
      <c r="B102" s="19">
        <v>13</v>
      </c>
      <c r="C102" t="s">
        <v>135</v>
      </c>
      <c r="D102" t="s">
        <v>64</v>
      </c>
      <c r="E102" s="19"/>
      <c r="F102" s="37">
        <v>44767</v>
      </c>
      <c r="G102" s="28">
        <v>46567</v>
      </c>
      <c r="H102" s="48">
        <f ca="1">IF(tblMicrosoftAssignments[[#This Row],[Expiry Date]]="","",tblMicrosoftAssignments[[#This Row],[Expiry Date]]-TODAY())</f>
        <v>288</v>
      </c>
      <c r="I102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102" s="19" t="str">
        <f>IF(tblMicrosoftAssignments[[#This Row],[User Name]]="","Unassigned","Assigned")</f>
        <v>Assigned</v>
      </c>
      <c r="K102" s="19"/>
      <c r="L102" s="19"/>
      <c r="M102" s="19"/>
      <c r="N102" s="19"/>
      <c r="O102" s="19"/>
      <c r="P102" s="19"/>
      <c r="Q102" s="19"/>
      <c r="R102" s="21"/>
      <c r="S102" s="19"/>
      <c r="T102" s="21"/>
      <c r="U102" s="19"/>
    </row>
    <row r="103" spans="1:21">
      <c r="A103" s="19" t="s">
        <v>78</v>
      </c>
      <c r="B103" s="19">
        <v>14</v>
      </c>
      <c r="C103" t="s">
        <v>136</v>
      </c>
      <c r="D103" t="s">
        <v>115</v>
      </c>
      <c r="E103" s="19"/>
      <c r="F103" s="37">
        <v>46202</v>
      </c>
      <c r="G103" s="28">
        <v>46567</v>
      </c>
      <c r="H103" s="48">
        <f ca="1">IF(tblMicrosoftAssignments[[#This Row],[Expiry Date]]="","",tblMicrosoftAssignments[[#This Row],[Expiry Date]]-TODAY())</f>
        <v>288</v>
      </c>
      <c r="I103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103" s="19" t="str">
        <f>IF(tblMicrosoftAssignments[[#This Row],[User Name]]="","Unassigned","Assigned")</f>
        <v>Assigned</v>
      </c>
      <c r="K103" s="19"/>
      <c r="L103" s="19"/>
      <c r="M103" s="19"/>
      <c r="N103" s="19"/>
      <c r="O103" s="19"/>
      <c r="P103" s="19"/>
      <c r="Q103" s="19"/>
      <c r="R103" s="21"/>
      <c r="S103" s="19"/>
      <c r="T103" s="21"/>
      <c r="U103" s="19"/>
    </row>
    <row r="104" spans="1:21">
      <c r="A104" s="19" t="s">
        <v>78</v>
      </c>
      <c r="B104" s="19">
        <v>15</v>
      </c>
      <c r="C104" t="s">
        <v>137</v>
      </c>
      <c r="D104" t="s">
        <v>159</v>
      </c>
      <c r="E104" s="19"/>
      <c r="F104" s="37">
        <v>45722</v>
      </c>
      <c r="G104" s="28">
        <v>46567</v>
      </c>
      <c r="H104" s="48">
        <f ca="1">IF(tblMicrosoftAssignments[[#This Row],[Expiry Date]]="","",tblMicrosoftAssignments[[#This Row],[Expiry Date]]-TODAY())</f>
        <v>288</v>
      </c>
      <c r="I104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104" s="19" t="str">
        <f>IF(tblMicrosoftAssignments[[#This Row],[User Name]]="","Unassigned","Assigned")</f>
        <v>Assigned</v>
      </c>
      <c r="K104" s="19"/>
      <c r="L104" s="19"/>
      <c r="M104" s="19"/>
      <c r="N104" s="19"/>
      <c r="O104" s="19"/>
      <c r="P104" s="19"/>
      <c r="Q104" s="19"/>
      <c r="R104" s="21"/>
      <c r="S104" s="19"/>
      <c r="T104" s="21"/>
      <c r="U104" s="19"/>
    </row>
    <row r="105" spans="1:21">
      <c r="A105" s="19" t="s">
        <v>78</v>
      </c>
      <c r="B105" s="19">
        <v>16</v>
      </c>
      <c r="C105" t="s">
        <v>138</v>
      </c>
      <c r="D105" t="s">
        <v>160</v>
      </c>
      <c r="E105" s="19"/>
      <c r="F105" s="37">
        <v>44767</v>
      </c>
      <c r="G105" s="28">
        <v>46567</v>
      </c>
      <c r="H105" s="48">
        <f ca="1">IF(tblMicrosoftAssignments[[#This Row],[Expiry Date]]="","",tblMicrosoftAssignments[[#This Row],[Expiry Date]]-TODAY())</f>
        <v>288</v>
      </c>
      <c r="I105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105" s="19" t="str">
        <f>IF(tblMicrosoftAssignments[[#This Row],[User Name]]="","Unassigned","Assigned")</f>
        <v>Assigned</v>
      </c>
      <c r="K105" s="19"/>
      <c r="L105" s="19"/>
      <c r="M105" s="19"/>
      <c r="N105" s="19"/>
      <c r="O105" s="19"/>
      <c r="P105" s="19"/>
      <c r="Q105" s="19"/>
      <c r="R105" s="21"/>
      <c r="S105" s="19"/>
      <c r="T105" s="21"/>
      <c r="U105" s="19"/>
    </row>
    <row r="106" spans="1:21">
      <c r="A106" s="19" t="s">
        <v>78</v>
      </c>
      <c r="B106" s="19">
        <v>17</v>
      </c>
      <c r="C106" t="s">
        <v>139</v>
      </c>
      <c r="D106" t="s">
        <v>161</v>
      </c>
      <c r="E106" s="19"/>
      <c r="F106" s="37">
        <v>45722</v>
      </c>
      <c r="G106" s="28">
        <v>46567</v>
      </c>
      <c r="H106" s="48">
        <f ca="1">IF(tblMicrosoftAssignments[[#This Row],[Expiry Date]]="","",tblMicrosoftAssignments[[#This Row],[Expiry Date]]-TODAY())</f>
        <v>288</v>
      </c>
      <c r="I106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106" s="19" t="str">
        <f>IF(tblMicrosoftAssignments[[#This Row],[User Name]]="","Unassigned","Assigned")</f>
        <v>Assigned</v>
      </c>
      <c r="K106" s="19"/>
      <c r="L106" s="19"/>
      <c r="M106" s="19"/>
      <c r="N106" s="19"/>
      <c r="O106" s="19"/>
      <c r="P106" s="19"/>
      <c r="Q106" s="19"/>
      <c r="R106" s="21"/>
      <c r="S106" s="19"/>
      <c r="T106" s="21"/>
      <c r="U106" s="19"/>
    </row>
    <row r="107" spans="1:21">
      <c r="A107" s="19" t="s">
        <v>78</v>
      </c>
      <c r="B107" s="19">
        <v>18</v>
      </c>
      <c r="C107" t="s">
        <v>140</v>
      </c>
      <c r="D107" t="s">
        <v>162</v>
      </c>
      <c r="E107" s="19"/>
      <c r="F107" s="37">
        <v>45722</v>
      </c>
      <c r="G107" s="28">
        <v>46567</v>
      </c>
      <c r="H107" s="48">
        <f ca="1">IF(tblMicrosoftAssignments[[#This Row],[Expiry Date]]="","",tblMicrosoftAssignments[[#This Row],[Expiry Date]]-TODAY())</f>
        <v>288</v>
      </c>
      <c r="I107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107" s="19" t="str">
        <f>IF(tblMicrosoftAssignments[[#This Row],[User Name]]="","Unassigned","Assigned")</f>
        <v>Assigned</v>
      </c>
      <c r="K107" s="19"/>
      <c r="L107" s="19"/>
      <c r="M107" s="19"/>
      <c r="N107" s="19"/>
      <c r="O107" s="19"/>
      <c r="P107" s="19"/>
      <c r="Q107" s="19"/>
      <c r="R107" s="21"/>
      <c r="S107" s="19"/>
      <c r="T107" s="21"/>
      <c r="U107" s="19"/>
    </row>
    <row r="108" spans="1:21">
      <c r="A108" s="19" t="s">
        <v>78</v>
      </c>
      <c r="B108" s="19">
        <v>19</v>
      </c>
      <c r="C108" t="s">
        <v>141</v>
      </c>
      <c r="D108" t="s">
        <v>163</v>
      </c>
      <c r="E108" s="19"/>
      <c r="F108" s="37">
        <v>44767</v>
      </c>
      <c r="G108" s="28">
        <v>46567</v>
      </c>
      <c r="H108" s="48">
        <f ca="1">IF(tblMicrosoftAssignments[[#This Row],[Expiry Date]]="","",tblMicrosoftAssignments[[#This Row],[Expiry Date]]-TODAY())</f>
        <v>288</v>
      </c>
      <c r="I108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108" s="19" t="str">
        <f>IF(tblMicrosoftAssignments[[#This Row],[User Name]]="","Unassigned","Assigned")</f>
        <v>Assigned</v>
      </c>
      <c r="K108" s="19"/>
      <c r="L108" s="19"/>
      <c r="M108" s="19"/>
      <c r="N108" s="19"/>
      <c r="O108" s="19"/>
      <c r="P108" s="19"/>
      <c r="Q108" s="19"/>
      <c r="R108" s="21"/>
      <c r="S108" s="19"/>
      <c r="T108" s="21"/>
      <c r="U108" s="19"/>
    </row>
    <row r="109" spans="1:21">
      <c r="A109" s="19" t="s">
        <v>78</v>
      </c>
      <c r="B109" s="19">
        <v>20</v>
      </c>
      <c r="C109" t="s">
        <v>142</v>
      </c>
      <c r="D109" t="s">
        <v>164</v>
      </c>
      <c r="E109" s="19"/>
      <c r="F109" s="37">
        <v>45722</v>
      </c>
      <c r="G109" s="28">
        <v>46567</v>
      </c>
      <c r="H109" s="48">
        <f ca="1">IF(tblMicrosoftAssignments[[#This Row],[Expiry Date]]="","",tblMicrosoftAssignments[[#This Row],[Expiry Date]]-TODAY())</f>
        <v>288</v>
      </c>
      <c r="I109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109" s="19" t="str">
        <f>IF(tblMicrosoftAssignments[[#This Row],[User Name]]="","Unassigned","Assigned")</f>
        <v>Assigned</v>
      </c>
      <c r="K109" s="19"/>
      <c r="L109" s="19"/>
      <c r="M109" s="19"/>
      <c r="N109" s="19"/>
      <c r="O109" s="19"/>
      <c r="P109" s="19"/>
      <c r="Q109" s="19"/>
      <c r="R109" s="21"/>
      <c r="S109" s="19"/>
      <c r="T109" s="21"/>
      <c r="U109" s="19"/>
    </row>
    <row r="110" spans="1:21">
      <c r="A110" s="19" t="s">
        <v>78</v>
      </c>
      <c r="B110" s="19">
        <v>21</v>
      </c>
      <c r="E110" s="19"/>
      <c r="F110" s="37">
        <v>45722</v>
      </c>
      <c r="G110" s="28">
        <v>46567</v>
      </c>
      <c r="H110" s="48">
        <f ca="1">IF(tblMicrosoftAssignments[[#This Row],[Expiry Date]]="","",tblMicrosoftAssignments[[#This Row],[Expiry Date]]-TODAY())</f>
        <v>288</v>
      </c>
      <c r="I110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110" s="19" t="str">
        <f>IF(tblMicrosoftAssignments[[#This Row],[User Name]]="","Unassigned","Assigned")</f>
        <v>Unassigned</v>
      </c>
      <c r="K110" s="19"/>
      <c r="L110" s="19"/>
      <c r="M110" s="19"/>
      <c r="N110" s="19"/>
      <c r="O110" s="19"/>
      <c r="P110" s="19"/>
      <c r="Q110" s="19"/>
      <c r="R110" s="21"/>
      <c r="S110" s="19"/>
      <c r="T110" s="21"/>
      <c r="U110" s="19"/>
    </row>
    <row r="111" spans="1:21">
      <c r="A111" s="19" t="s">
        <v>78</v>
      </c>
      <c r="B111" s="19">
        <v>22</v>
      </c>
      <c r="C111" t="s">
        <v>144</v>
      </c>
      <c r="D111" t="s">
        <v>166</v>
      </c>
      <c r="E111" s="19"/>
      <c r="F111" s="37">
        <v>45624</v>
      </c>
      <c r="G111" s="28">
        <v>46567</v>
      </c>
      <c r="H111" s="48">
        <f ca="1">IF(tblMicrosoftAssignments[[#This Row],[Expiry Date]]="","",tblMicrosoftAssignments[[#This Row],[Expiry Date]]-TODAY())</f>
        <v>288</v>
      </c>
      <c r="I111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111" s="19" t="str">
        <f>IF(tblMicrosoftAssignments[[#This Row],[User Name]]="","Unassigned","Assigned")</f>
        <v>Assigned</v>
      </c>
      <c r="K111" s="19"/>
      <c r="L111" s="19"/>
      <c r="M111" s="19"/>
      <c r="N111" s="19"/>
      <c r="O111" s="19"/>
      <c r="P111" s="19"/>
      <c r="Q111" s="19"/>
      <c r="R111" s="21"/>
      <c r="S111" s="19"/>
      <c r="T111" s="21"/>
      <c r="U111" s="19"/>
    </row>
    <row r="112" spans="1:21">
      <c r="A112" s="19" t="s">
        <v>78</v>
      </c>
      <c r="B112" s="19">
        <v>23</v>
      </c>
      <c r="C112" t="s">
        <v>145</v>
      </c>
      <c r="D112" t="s">
        <v>167</v>
      </c>
      <c r="E112" s="19"/>
      <c r="F112" s="37">
        <v>45609</v>
      </c>
      <c r="G112" s="28">
        <v>46567</v>
      </c>
      <c r="H112" s="48">
        <f ca="1">IF(tblMicrosoftAssignments[[#This Row],[Expiry Date]]="","",tblMicrosoftAssignments[[#This Row],[Expiry Date]]-TODAY())</f>
        <v>288</v>
      </c>
      <c r="I112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112" s="19" t="str">
        <f>IF(tblMicrosoftAssignments[[#This Row],[User Name]]="","Unassigned","Assigned")</f>
        <v>Assigned</v>
      </c>
      <c r="K112" s="19"/>
      <c r="L112" s="19"/>
      <c r="M112" s="19"/>
      <c r="N112" s="19"/>
      <c r="O112" s="19"/>
      <c r="P112" s="19"/>
      <c r="Q112" s="19"/>
      <c r="R112" s="21"/>
      <c r="S112" s="19"/>
      <c r="T112" s="21"/>
      <c r="U112" s="19"/>
    </row>
    <row r="113" spans="1:21">
      <c r="A113" s="19" t="s">
        <v>78</v>
      </c>
      <c r="B113" s="19">
        <v>24</v>
      </c>
      <c r="C113" t="s">
        <v>146</v>
      </c>
      <c r="D113" t="s">
        <v>168</v>
      </c>
      <c r="E113" s="19"/>
      <c r="F113" s="37">
        <v>45965</v>
      </c>
      <c r="G113" s="28">
        <v>46567</v>
      </c>
      <c r="H113" s="48">
        <f ca="1">IF(tblMicrosoftAssignments[[#This Row],[Expiry Date]]="","",tblMicrosoftAssignments[[#This Row],[Expiry Date]]-TODAY())</f>
        <v>288</v>
      </c>
      <c r="I113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113" s="19" t="str">
        <f>IF(tblMicrosoftAssignments[[#This Row],[User Name]]="","Unassigned","Assigned")</f>
        <v>Assigned</v>
      </c>
      <c r="K113" s="19"/>
      <c r="L113" s="19"/>
      <c r="M113" s="19"/>
      <c r="N113" s="19"/>
      <c r="O113" s="19"/>
      <c r="P113" s="19"/>
      <c r="Q113" s="19"/>
      <c r="R113" s="21"/>
      <c r="S113" s="19"/>
      <c r="T113" s="21"/>
      <c r="U113" s="19"/>
    </row>
    <row r="114" spans="1:21">
      <c r="A114" s="19" t="s">
        <v>73</v>
      </c>
      <c r="B114" s="19">
        <v>1</v>
      </c>
      <c r="C114" t="s">
        <v>127</v>
      </c>
      <c r="D114" t="s">
        <v>151</v>
      </c>
      <c r="E114" s="19"/>
      <c r="F114" s="37">
        <v>45722</v>
      </c>
      <c r="G114" s="28">
        <v>46567</v>
      </c>
      <c r="H114" s="48">
        <f ca="1">IF(tblMicrosoftAssignments[[#This Row],[Expiry Date]]="","",tblMicrosoftAssignments[[#This Row],[Expiry Date]]-TODAY())</f>
        <v>288</v>
      </c>
      <c r="I114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114" s="19" t="str">
        <f>IF(tblMicrosoftAssignments[[#This Row],[User Name]]="","Unassigned","Assigned")</f>
        <v>Assigned</v>
      </c>
      <c r="K114" s="19"/>
      <c r="L114" s="19"/>
      <c r="M114" s="19"/>
      <c r="N114" s="19"/>
      <c r="O114" s="19"/>
      <c r="P114" s="19"/>
      <c r="Q114" s="19"/>
      <c r="R114" s="21"/>
      <c r="S114" s="19"/>
      <c r="T114" s="21"/>
      <c r="U114" s="19"/>
    </row>
    <row r="115" spans="1:21">
      <c r="A115" s="19" t="s">
        <v>73</v>
      </c>
      <c r="B115" s="19">
        <v>2</v>
      </c>
      <c r="C115" t="s">
        <v>171</v>
      </c>
      <c r="D115" t="s">
        <v>169</v>
      </c>
      <c r="E115" s="19"/>
      <c r="F115" s="37">
        <v>46274</v>
      </c>
      <c r="G115" s="28">
        <v>46567</v>
      </c>
      <c r="H115" s="48">
        <f ca="1">IF(tblMicrosoftAssignments[[#This Row],[Expiry Date]]="","",tblMicrosoftAssignments[[#This Row],[Expiry Date]]-TODAY())</f>
        <v>288</v>
      </c>
      <c r="I115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115" s="19" t="str">
        <f>IF(tblMicrosoftAssignments[[#This Row],[User Name]]="","Unassigned","Assigned")</f>
        <v>Assigned</v>
      </c>
      <c r="K115" s="19"/>
      <c r="L115" s="19"/>
      <c r="M115" s="19"/>
      <c r="N115" s="19"/>
      <c r="O115" s="19"/>
      <c r="P115" s="19"/>
      <c r="Q115" s="19"/>
      <c r="R115" s="21"/>
      <c r="S115" s="19"/>
      <c r="T115" s="21"/>
      <c r="U115" s="19"/>
    </row>
    <row r="116" spans="1:21">
      <c r="A116" s="19" t="s">
        <v>73</v>
      </c>
      <c r="B116" s="19">
        <v>3</v>
      </c>
      <c r="C116" t="s">
        <v>172</v>
      </c>
      <c r="D116" t="s">
        <v>170</v>
      </c>
      <c r="E116" s="19"/>
      <c r="F116" s="37">
        <v>46274</v>
      </c>
      <c r="G116" s="28">
        <v>46567</v>
      </c>
      <c r="H116" s="48">
        <f ca="1">IF(tblMicrosoftAssignments[[#This Row],[Expiry Date]]="","",tblMicrosoftAssignments[[#This Row],[Expiry Date]]-TODAY())</f>
        <v>288</v>
      </c>
      <c r="I116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116" s="19" t="str">
        <f>IF(tblMicrosoftAssignments[[#This Row],[User Name]]="","Unassigned","Assigned")</f>
        <v>Assigned</v>
      </c>
      <c r="K116" s="19"/>
      <c r="L116" s="19"/>
      <c r="M116" s="19"/>
      <c r="N116" s="19"/>
      <c r="O116" s="19"/>
      <c r="P116" s="19"/>
      <c r="Q116" s="19"/>
      <c r="R116" s="21"/>
      <c r="S116" s="19"/>
      <c r="T116" s="21"/>
      <c r="U116" s="19"/>
    </row>
    <row r="117" spans="1:21">
      <c r="A117" s="19" t="s">
        <v>73</v>
      </c>
      <c r="B117" s="19">
        <v>4</v>
      </c>
      <c r="C117" t="s">
        <v>142</v>
      </c>
      <c r="D117" t="s">
        <v>164</v>
      </c>
      <c r="E117" s="19"/>
      <c r="F117" s="37">
        <v>45722</v>
      </c>
      <c r="G117" s="28">
        <v>46567</v>
      </c>
      <c r="H117" s="48">
        <f ca="1">IF(tblMicrosoftAssignments[[#This Row],[Expiry Date]]="","",tblMicrosoftAssignments[[#This Row],[Expiry Date]]-TODAY())</f>
        <v>288</v>
      </c>
      <c r="I117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Active</v>
      </c>
      <c r="J117" s="19" t="str">
        <f>IF(tblMicrosoftAssignments[[#This Row],[User Name]]="","Unassigned","Assigned")</f>
        <v>Assigned</v>
      </c>
      <c r="K117" s="19"/>
      <c r="L117" s="19"/>
      <c r="M117" s="19"/>
      <c r="N117" s="19"/>
      <c r="O117" s="19"/>
      <c r="P117" s="19"/>
      <c r="Q117" s="19"/>
      <c r="R117" s="21"/>
      <c r="S117" s="19"/>
      <c r="T117" s="21"/>
      <c r="U117" s="19"/>
    </row>
    <row r="118" spans="1:21">
      <c r="A118" s="19" t="s">
        <v>91</v>
      </c>
      <c r="B118" s="19">
        <v>1</v>
      </c>
      <c r="C118" s="39" t="s">
        <v>175</v>
      </c>
      <c r="D118" s="22" t="s">
        <v>92</v>
      </c>
      <c r="E118" s="19"/>
      <c r="F118" s="38" t="s">
        <v>92</v>
      </c>
      <c r="G118" s="28"/>
      <c r="H118" s="48" t="str">
        <f ca="1">IF(tblMicrosoftAssignments[[#This Row],[Expiry Date]]="","",tblMicrosoftAssignments[[#This Row],[Expiry Date]]-TODAY())</f>
        <v/>
      </c>
      <c r="I118" s="28" t="str">
        <f ca="1">IF(tblMicrosoftAssignments[[#This Row],[Expiry Date]]="","No Expiry",IF(tblMicrosoftAssignments[[#This Row],[Expiry Date]]&lt;TODAY(),"Expired",IF(tblMicrosoftAssignments[[#This Row],[Expiry Date]]-TODAY()&lt;=30,"Renew Soon","Active")))</f>
        <v>No Expiry</v>
      </c>
      <c r="J118" s="19" t="str">
        <f>IF(tblMicrosoftAssignments[[#This Row],[User Name]]="","Unassigned","Assigned")</f>
        <v>Assigned</v>
      </c>
      <c r="K118" s="19"/>
      <c r="L118" s="19"/>
      <c r="M118" s="19"/>
      <c r="N118" s="19"/>
      <c r="O118" s="19"/>
    </row>
    <row r="119" spans="1:21">
      <c r="A119" s="19"/>
      <c r="B119" s="19"/>
      <c r="C119" s="19"/>
      <c r="D119" s="19"/>
      <c r="E119" s="19"/>
      <c r="F119" s="19"/>
      <c r="G119" s="19"/>
      <c r="H119" s="19"/>
    </row>
  </sheetData>
  <mergeCells count="3">
    <mergeCell ref="A1:R1"/>
    <mergeCell ref="A3:R3"/>
    <mergeCell ref="A13:H13"/>
  </mergeCells>
  <conditionalFormatting sqref="H15:H118">
    <cfRule type="expression" dxfId="96" priority="19">
      <formula>AND(ISNUMBER($H15),$H15&lt;30)</formula>
    </cfRule>
  </conditionalFormatting>
  <conditionalFormatting sqref="I15:I118">
    <cfRule type="expression" dxfId="95" priority="15">
      <formula>$I15="Active"</formula>
    </cfRule>
    <cfRule type="expression" dxfId="94" priority="16">
      <formula>$I15="Renew Soon"</formula>
    </cfRule>
    <cfRule type="expression" dxfId="93" priority="17">
      <formula>$I15="Expired"</formula>
    </cfRule>
    <cfRule type="expression" dxfId="92" priority="18">
      <formula>$I15="No Expiry"</formula>
    </cfRule>
  </conditionalFormatting>
  <conditionalFormatting sqref="J15:J118">
    <cfRule type="expression" dxfId="91" priority="8">
      <formula>$J15="Active"</formula>
    </cfRule>
    <cfRule type="expression" dxfId="90" priority="9">
      <formula>$J15="No Expiry"</formula>
    </cfRule>
    <cfRule type="expression" dxfId="89" priority="10">
      <formula>$J15="Renew Soon"</formula>
    </cfRule>
    <cfRule type="expression" dxfId="88" priority="11">
      <formula>$J15="Expired"</formula>
    </cfRule>
    <cfRule type="expression" dxfId="87" priority="12">
      <formula>$J15="Assigned"</formula>
    </cfRule>
    <cfRule type="expression" dxfId="86" priority="13">
      <formula>$J15="Assigned - Name pending"</formula>
    </cfRule>
    <cfRule type="expression" dxfId="85" priority="14">
      <formula>$J15="Unassigned"</formula>
    </cfRule>
  </conditionalFormatting>
  <conditionalFormatting sqref="M5:M10 M12">
    <cfRule type="expression" dxfId="84" priority="1">
      <formula>$M5="Active"</formula>
    </cfRule>
    <cfRule type="expression" dxfId="83" priority="2">
      <formula>$M5="No Expiry"</formula>
    </cfRule>
    <cfRule type="expression" dxfId="82" priority="3">
      <formula>$M5="Renew Soon"</formula>
    </cfRule>
    <cfRule type="expression" dxfId="81" priority="4">
      <formula>$M5="Expired"</formula>
    </cfRule>
    <cfRule type="expression" dxfId="80" priority="5">
      <formula>$M5="Assigned"</formula>
    </cfRule>
    <cfRule type="expression" dxfId="79" priority="6">
      <formula>$M5="Assigned - Name pending"</formula>
    </cfRule>
    <cfRule type="expression" dxfId="78" priority="7">
      <formula>$M5="Unassigned"</formula>
    </cfRule>
  </conditionalFormatting>
  <hyperlinks>
    <hyperlink ref="D16" r:id="rId1" xr:uid="{3E8F8A65-1179-4BB4-AD08-DF6546D4CEF9}"/>
    <hyperlink ref="D34" r:id="rId2" xr:uid="{D192D34E-A114-4CE0-B897-7D1FC39DFEA3}"/>
    <hyperlink ref="D17" r:id="rId3" xr:uid="{433565A9-6C24-46E3-907C-C818A4C851F0}"/>
  </hyperlinks>
  <pageMargins left="0.7" right="0.7" top="0.75" bottom="0.75" header="0.3" footer="0.3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28902-BD09-427E-AE85-9AA15DAE4489}">
  <sheetPr>
    <tabColor rgb="FFC00000"/>
  </sheetPr>
  <dimension ref="A1:U29"/>
  <sheetViews>
    <sheetView showGridLines="0" workbookViewId="0">
      <selection activeCell="E5" sqref="E5"/>
    </sheetView>
  </sheetViews>
  <sheetFormatPr defaultColWidth="30.3984375" defaultRowHeight="16.8"/>
  <cols>
    <col min="1" max="1" width="17.19921875" bestFit="1" customWidth="1"/>
    <col min="2" max="2" width="23.296875" bestFit="1" customWidth="1"/>
    <col min="3" max="3" width="26.3984375" bestFit="1" customWidth="1"/>
    <col min="4" max="4" width="17.5" bestFit="1" customWidth="1"/>
    <col min="5" max="5" width="14" bestFit="1" customWidth="1"/>
    <col min="6" max="6" width="17.59765625" bestFit="1" customWidth="1"/>
    <col min="7" max="7" width="14.59765625" bestFit="1" customWidth="1"/>
    <col min="8" max="8" width="15.3984375" bestFit="1" customWidth="1"/>
    <col min="9" max="9" width="12.8984375" bestFit="1" customWidth="1"/>
    <col min="10" max="10" width="10.19921875" bestFit="1" customWidth="1"/>
    <col min="11" max="11" width="26.69921875" bestFit="1" customWidth="1"/>
    <col min="12" max="12" width="8" bestFit="1" customWidth="1"/>
    <col min="13" max="13" width="7.8984375" bestFit="1" customWidth="1"/>
    <col min="14" max="14" width="7.5" bestFit="1" customWidth="1"/>
    <col min="15" max="15" width="13.09765625" style="2" bestFit="1" customWidth="1"/>
    <col min="17" max="17" width="30.3984375" style="2"/>
  </cols>
  <sheetData>
    <row r="1" spans="1:21" ht="23.4">
      <c r="A1" s="63" t="s">
        <v>83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</row>
    <row r="2" spans="1:2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1"/>
      <c r="P2" s="19"/>
      <c r="Q2" s="21"/>
      <c r="R2" s="19"/>
    </row>
    <row r="3" spans="1:21">
      <c r="A3" s="64" t="s">
        <v>90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</row>
    <row r="4" spans="1:21">
      <c r="A4" s="19" t="s">
        <v>2</v>
      </c>
      <c r="B4" s="19" t="s">
        <v>6</v>
      </c>
      <c r="C4" s="19" t="s">
        <v>10</v>
      </c>
      <c r="D4" s="19" t="s">
        <v>11</v>
      </c>
      <c r="E4" s="19" t="s">
        <v>7</v>
      </c>
      <c r="F4" s="19" t="s">
        <v>8</v>
      </c>
      <c r="G4" s="19" t="s">
        <v>9</v>
      </c>
      <c r="H4" s="19" t="s">
        <v>13</v>
      </c>
      <c r="I4" s="19" t="s">
        <v>14</v>
      </c>
      <c r="J4" s="19" t="s">
        <v>15</v>
      </c>
      <c r="K4" s="19" t="s">
        <v>17</v>
      </c>
      <c r="L4" s="19" t="s">
        <v>18</v>
      </c>
      <c r="M4" s="19" t="s">
        <v>20</v>
      </c>
      <c r="N4" s="21" t="s">
        <v>21</v>
      </c>
      <c r="O4" s="19" t="s">
        <v>22</v>
      </c>
      <c r="Q4"/>
    </row>
    <row r="5" spans="1:21" ht="27.6">
      <c r="A5" s="36" t="s">
        <v>58</v>
      </c>
      <c r="B5" s="36" t="str">
        <f>_xlfn.LET(_xlpm.x,_xlfn.XLOOKUP(tblAcrobatDetails[[#This Row],[Product / Service]],tblLicenses[Product / Service],tblLicenses[License Key / Contract Ref],""),IF(_xlpm.x=0,"",_xlpm.x))</f>
        <v/>
      </c>
      <c r="C5" s="28"/>
      <c r="D5" s="28"/>
      <c r="E5" s="19">
        <f>_xlfn.XLOOKUP(tblAcrobatDetails[[#This Row],[Product / Service]],tblLicenses[Product / Service],tblLicenses[Total Seats],0)</f>
        <v>2</v>
      </c>
      <c r="F5" s="19">
        <f>COUNTIF(tblAcrobatUsers[Assignment Status],"Assigned")</f>
        <v>2</v>
      </c>
      <c r="G5" s="19">
        <f>MAX(0,tblAcrobatDetails[[#This Row],[Total Seats]]-tblAcrobatDetails[[#This Row],[Assigned Seats]])</f>
        <v>0</v>
      </c>
      <c r="H5" s="19" t="str">
        <f>_xlfn.LET(_xlpm.x,_xlfn.XLOOKUP(tblAcrobatDetails[[#This Row],[Product / Service]],tblLicenses[Product / Service],tblLicenses[Renewal Type],""),IF(_xlpm.x=0,"",_xlpm.x))</f>
        <v>Manual</v>
      </c>
      <c r="I5" s="19" t="str">
        <f>_xlfn.LET(_xlpm.x,_xlfn.XLOOKUP(tblAcrobatDetails[[#This Row],[Product / Service]],tblLicenses[Product / Service],tblLicenses[Billing Cycle],""),IF(_xlpm.x=0,"",_xlpm.x))</f>
        <v>Annual</v>
      </c>
      <c r="J5" s="20">
        <f>_xlfn.XLOOKUP(tblAcrobatDetails[[#This Row],[Product / Service]],tblLicenses[Product / Service],tblLicenses[Unit Cost],0)</f>
        <v>9400</v>
      </c>
      <c r="K5" s="20">
        <f>_xlfn.XLOOKUP(tblAcrobatDetails[[#This Row],[Product / Service]],tblLicenses[Product / Service],tblLicenses[Annual Cost],0)</f>
        <v>18800</v>
      </c>
      <c r="L5" s="19" t="str">
        <f>_xlfn.LET(_xlpm.x,_xlfn.XLOOKUP(tblAcrobatDetails[[#This Row],[Product / Service]],tblLicenses[Product / Service],tblLicenses[Owner],""),IF(_xlpm.x=0,"",_xlpm.x))</f>
        <v>IT Admin</v>
      </c>
      <c r="M5" s="19" t="str">
        <f>_xlfn.XLOOKUP(tblAcrobatDetails[[#This Row],[Product / Service]],tblLicenses[Product / Service],tblLicenses[Status],"")</f>
        <v>Active</v>
      </c>
      <c r="N5" s="21" t="str">
        <f>_xlfn.LET(_xlpm.x,_xlfn.XLOOKUP(tblAcrobatDetails[[#This Row],[Product / Service]],tblLicenses[Product / Service],tblLicenses[Notes],""),IF(_xlpm.x=0,"",_xlpm.x))</f>
        <v/>
      </c>
      <c r="O5" s="28">
        <f ca="1">_xlfn.XLOOKUP(tblAcrobatDetails[[#This Row],[Product / Service]],tblLicenses[Product / Service],tblLicenses[Last Updated],"")</f>
        <v>46279</v>
      </c>
      <c r="Q5"/>
    </row>
    <row r="6" spans="1:21">
      <c r="A6" s="51" t="s">
        <v>284</v>
      </c>
      <c r="B6" s="51"/>
      <c r="C6" s="50"/>
      <c r="D6" s="50"/>
      <c r="E6" s="50"/>
      <c r="F6" s="50"/>
      <c r="G6" s="50"/>
      <c r="H6" s="50"/>
      <c r="I6" s="50"/>
      <c r="J6" s="52">
        <f>SUBTOTAL(109,tblAcrobatDetails[Unit Cost])</f>
        <v>9400</v>
      </c>
      <c r="K6" s="52">
        <f>SUBTOTAL(109,tblAcrobatDetails[Annual Cost])</f>
        <v>18800</v>
      </c>
      <c r="L6" s="50"/>
      <c r="M6" s="50"/>
      <c r="N6" s="53"/>
      <c r="O6" s="50">
        <f ca="1">SUBTOTAL(103,tblAcrobatDetails[Last Updated])</f>
        <v>1</v>
      </c>
      <c r="P6" s="19"/>
      <c r="Q6" s="21"/>
      <c r="R6" s="19"/>
    </row>
    <row r="7" spans="1:21" s="32" customFormat="1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21"/>
      <c r="P7" s="30"/>
      <c r="Q7" s="31"/>
      <c r="R7" s="30"/>
    </row>
    <row r="8" spans="1:21">
      <c r="A8" s="64" t="s">
        <v>100</v>
      </c>
      <c r="B8" s="64"/>
      <c r="C8" s="64"/>
      <c r="D8" s="64"/>
      <c r="E8" s="64"/>
      <c r="F8" s="64"/>
      <c r="G8" s="64"/>
      <c r="H8" s="64"/>
      <c r="I8" s="30"/>
      <c r="J8" s="30"/>
      <c r="K8" s="30"/>
      <c r="L8" s="30"/>
      <c r="M8" s="30"/>
      <c r="N8" s="30"/>
      <c r="O8" s="31"/>
      <c r="P8" s="19"/>
      <c r="Q8" s="19"/>
      <c r="R8" s="21"/>
      <c r="S8" s="19"/>
      <c r="T8" s="21"/>
      <c r="U8" s="19"/>
    </row>
    <row r="9" spans="1:21">
      <c r="A9" s="19" t="s">
        <v>59</v>
      </c>
      <c r="B9" s="19" t="s">
        <v>60</v>
      </c>
      <c r="C9" s="19" t="s">
        <v>82</v>
      </c>
      <c r="D9" s="19" t="s">
        <v>61</v>
      </c>
      <c r="E9" s="19" t="s">
        <v>62</v>
      </c>
      <c r="F9" s="19" t="s">
        <v>63</v>
      </c>
      <c r="G9" s="19" t="s">
        <v>12</v>
      </c>
      <c r="H9" s="19" t="s">
        <v>282</v>
      </c>
      <c r="I9" s="19" t="s">
        <v>98</v>
      </c>
      <c r="J9" s="19" t="s">
        <v>21</v>
      </c>
      <c r="K9" s="19" t="s">
        <v>2</v>
      </c>
      <c r="L9" s="19"/>
      <c r="M9" s="19"/>
      <c r="N9" s="19"/>
      <c r="O9" s="19"/>
      <c r="P9" s="19"/>
      <c r="Q9" s="19"/>
      <c r="R9" s="21"/>
      <c r="S9" s="19"/>
      <c r="T9" s="21"/>
      <c r="U9" s="19"/>
    </row>
    <row r="10" spans="1:21">
      <c r="A10" s="19">
        <v>1</v>
      </c>
      <c r="B10" s="19" t="s">
        <v>65</v>
      </c>
      <c r="C10" s="19" t="s">
        <v>64</v>
      </c>
      <c r="D10" s="19" t="s">
        <v>108</v>
      </c>
      <c r="E10" s="28"/>
      <c r="F10" s="19" t="str">
        <f>IF(tblAcrobatUsers[[#This Row],[User Name]]="","Unassigned","Assigned")</f>
        <v>Assigned</v>
      </c>
      <c r="G10" s="28">
        <v>46354</v>
      </c>
      <c r="H10" s="48">
        <f ca="1">IF(tblAcrobatUsers[[#This Row],[Expiry Date]]="","",tblAcrobatUsers[[#This Row],[Expiry Date]]-TODAY())</f>
        <v>75</v>
      </c>
      <c r="I10" s="19" t="str">
        <f ca="1">IF(tblAcrobatUsers[[#This Row],[Expiry Date]]="","No Expiry",IF(tblAcrobatUsers[[#This Row],[Expiry Date]]&lt;TODAY(),"Expired",IF(tblAcrobatUsers[[#This Row],[Expiry Date]]-TODAY()&lt;=30,"Renew Soon","Active")))</f>
        <v>Active</v>
      </c>
      <c r="J10" s="19"/>
      <c r="K10" s="19" t="s">
        <v>58</v>
      </c>
      <c r="L10" s="19"/>
      <c r="M10" s="19"/>
      <c r="N10" s="19"/>
      <c r="O10" s="19"/>
      <c r="P10" s="19"/>
      <c r="Q10" s="19"/>
      <c r="R10" s="21"/>
      <c r="S10" s="19"/>
      <c r="T10" s="21"/>
      <c r="U10" s="19"/>
    </row>
    <row r="11" spans="1:21">
      <c r="A11" s="19">
        <v>2</v>
      </c>
      <c r="B11" s="19" t="s">
        <v>66</v>
      </c>
      <c r="C11" s="19" t="s">
        <v>67</v>
      </c>
      <c r="D11" s="19" t="s">
        <v>107</v>
      </c>
      <c r="E11" s="28"/>
      <c r="F11" s="19" t="str">
        <f>IF(tblAcrobatUsers[[#This Row],[User Name]]="","Unassigned","Assigned")</f>
        <v>Assigned</v>
      </c>
      <c r="G11" s="28">
        <v>46354</v>
      </c>
      <c r="H11" s="48">
        <f ca="1">IF(tblAcrobatUsers[[#This Row],[Expiry Date]]="","",tblAcrobatUsers[[#This Row],[Expiry Date]]-TODAY())</f>
        <v>75</v>
      </c>
      <c r="I11" s="19" t="str">
        <f ca="1">IF(tblAcrobatUsers[[#This Row],[Expiry Date]]="","No Expiry",IF(tblAcrobatUsers[[#This Row],[Expiry Date]]&lt;TODAY(),"Expired",IF(tblAcrobatUsers[[#This Row],[Expiry Date]]-TODAY()&lt;=30,"Renew Soon","Active")))</f>
        <v>Active</v>
      </c>
      <c r="J11" s="19"/>
      <c r="K11" s="19" t="s">
        <v>58</v>
      </c>
      <c r="L11" s="19"/>
      <c r="M11" s="19"/>
      <c r="N11" s="19"/>
      <c r="O11" s="19"/>
      <c r="P11" s="19"/>
      <c r="Q11" s="21"/>
      <c r="R11" s="19"/>
    </row>
    <row r="12" spans="1:21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21"/>
    </row>
    <row r="13" spans="1:2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2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2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4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4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</sheetData>
  <mergeCells count="3">
    <mergeCell ref="A1:R1"/>
    <mergeCell ref="A3:R3"/>
    <mergeCell ref="A8:H8"/>
  </mergeCells>
  <conditionalFormatting sqref="H10:H11">
    <cfRule type="expression" dxfId="77" priority="12">
      <formula>AND(ISNUMBER($H10),$H10&lt;30)</formula>
    </cfRule>
  </conditionalFormatting>
  <conditionalFormatting sqref="I10:I11">
    <cfRule type="expression" dxfId="76" priority="8">
      <formula>$I10="Active"</formula>
    </cfRule>
    <cfRule type="expression" dxfId="75" priority="9">
      <formula>$I10="Renew Soon"</formula>
    </cfRule>
    <cfRule type="expression" dxfId="74" priority="10">
      <formula>$I10="Expired"</formula>
    </cfRule>
    <cfRule type="expression" dxfId="73" priority="11">
      <formula>$I10="No Expiry"</formula>
    </cfRule>
  </conditionalFormatting>
  <conditionalFormatting sqref="M5">
    <cfRule type="expression" dxfId="72" priority="1">
      <formula>$M5="Active"</formula>
    </cfRule>
    <cfRule type="expression" dxfId="71" priority="2">
      <formula>$M5="No Expiry"</formula>
    </cfRule>
    <cfRule type="expression" dxfId="70" priority="3">
      <formula>$M5="Renew Soon"</formula>
    </cfRule>
    <cfRule type="expression" dxfId="69" priority="4">
      <formula>$M5="Expired"</formula>
    </cfRule>
    <cfRule type="expression" dxfId="68" priority="5">
      <formula>$M5="Assigned"</formula>
    </cfRule>
    <cfRule type="expression" dxfId="67" priority="6">
      <formula>$M5="Assigned - Name pending"</formula>
    </cfRule>
    <cfRule type="expression" dxfId="66" priority="7">
      <formula>$M5="Unassigned"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34E54-54AC-4D34-9B69-5EA5A749A949}">
  <dimension ref="A1:I20"/>
  <sheetViews>
    <sheetView showGridLines="0" workbookViewId="0">
      <selection activeCell="B8" sqref="B8"/>
    </sheetView>
  </sheetViews>
  <sheetFormatPr defaultRowHeight="16.8"/>
  <cols>
    <col min="1" max="1" width="11.59765625" bestFit="1" customWidth="1"/>
    <col min="2" max="2" width="13.5" customWidth="1"/>
    <col min="3" max="3" width="14.19921875" bestFit="1" customWidth="1"/>
    <col min="4" max="4" width="13" customWidth="1"/>
    <col min="5" max="5" width="10.5" bestFit="1" customWidth="1"/>
    <col min="6" max="6" width="12.796875" customWidth="1"/>
    <col min="8" max="8" width="17.19921875" customWidth="1"/>
    <col min="9" max="9" width="12.8984375" customWidth="1"/>
  </cols>
  <sheetData>
    <row r="1" spans="1:9">
      <c r="A1" s="1" t="s">
        <v>4</v>
      </c>
      <c r="B1" s="1" t="s">
        <v>5</v>
      </c>
      <c r="C1" s="1" t="s">
        <v>13</v>
      </c>
      <c r="D1" s="1" t="s">
        <v>14</v>
      </c>
      <c r="E1" s="1" t="s">
        <v>16</v>
      </c>
      <c r="F1" s="1" t="s">
        <v>19</v>
      </c>
      <c r="H1" t="s">
        <v>2</v>
      </c>
      <c r="I1" t="s">
        <v>69</v>
      </c>
    </row>
    <row r="2" spans="1:9">
      <c r="A2" s="1" t="s">
        <v>23</v>
      </c>
      <c r="B2" s="1" t="s">
        <v>24</v>
      </c>
      <c r="C2" s="1" t="s">
        <v>25</v>
      </c>
      <c r="D2" s="1" t="s">
        <v>30</v>
      </c>
      <c r="E2" s="1" t="s">
        <v>31</v>
      </c>
      <c r="F2" s="1" t="s">
        <v>29</v>
      </c>
      <c r="H2" t="s">
        <v>77</v>
      </c>
      <c r="I2" t="s">
        <v>70</v>
      </c>
    </row>
    <row r="3" spans="1:9">
      <c r="A3" s="1" t="s">
        <v>32</v>
      </c>
      <c r="B3" s="1" t="s">
        <v>33</v>
      </c>
      <c r="C3" s="1" t="s">
        <v>34</v>
      </c>
      <c r="D3" s="1" t="s">
        <v>35</v>
      </c>
      <c r="E3" s="1" t="s">
        <v>27</v>
      </c>
      <c r="F3" s="1" t="s">
        <v>36</v>
      </c>
      <c r="H3" t="s">
        <v>73</v>
      </c>
      <c r="I3" t="s">
        <v>70</v>
      </c>
    </row>
    <row r="4" spans="1:9">
      <c r="A4" s="1" t="s">
        <v>37</v>
      </c>
      <c r="B4" s="1" t="s">
        <v>38</v>
      </c>
      <c r="C4" s="1" t="s">
        <v>39</v>
      </c>
      <c r="D4" s="1" t="s">
        <v>26</v>
      </c>
      <c r="E4" s="1" t="s">
        <v>40</v>
      </c>
      <c r="F4" s="1" t="s">
        <v>41</v>
      </c>
      <c r="H4" t="s">
        <v>78</v>
      </c>
      <c r="I4" t="s">
        <v>70</v>
      </c>
    </row>
    <row r="5" spans="1:9">
      <c r="A5" s="1" t="s">
        <v>42</v>
      </c>
      <c r="B5" s="1" t="s">
        <v>43</v>
      </c>
      <c r="C5" s="1"/>
      <c r="D5" s="1" t="s">
        <v>44</v>
      </c>
      <c r="E5" s="1" t="s">
        <v>45</v>
      </c>
      <c r="F5" s="1" t="s">
        <v>46</v>
      </c>
      <c r="H5" t="s">
        <v>79</v>
      </c>
      <c r="I5" t="s">
        <v>70</v>
      </c>
    </row>
    <row r="6" spans="1:9">
      <c r="A6" s="1" t="s">
        <v>47</v>
      </c>
      <c r="B6" s="1" t="s">
        <v>48</v>
      </c>
      <c r="C6" s="1"/>
      <c r="D6" s="1"/>
      <c r="E6" s="1" t="s">
        <v>49</v>
      </c>
      <c r="F6" s="1" t="s">
        <v>50</v>
      </c>
      <c r="H6" t="s">
        <v>80</v>
      </c>
      <c r="I6" t="s">
        <v>70</v>
      </c>
    </row>
    <row r="7" spans="1:9">
      <c r="A7" s="1" t="s">
        <v>51</v>
      </c>
      <c r="B7" s="1" t="s">
        <v>52</v>
      </c>
      <c r="C7" s="1"/>
      <c r="D7" s="1"/>
      <c r="E7" s="1" t="s">
        <v>53</v>
      </c>
      <c r="F7" s="1" t="s">
        <v>54</v>
      </c>
      <c r="H7" t="s">
        <v>58</v>
      </c>
      <c r="I7" t="s">
        <v>71</v>
      </c>
    </row>
    <row r="8" spans="1:9">
      <c r="A8" s="1" t="s">
        <v>55</v>
      </c>
      <c r="B8" s="1" t="s">
        <v>56</v>
      </c>
      <c r="C8" s="1"/>
      <c r="D8" s="1"/>
      <c r="E8" s="1"/>
      <c r="F8" s="1" t="s">
        <v>55</v>
      </c>
      <c r="H8" t="s">
        <v>68</v>
      </c>
      <c r="I8" t="s">
        <v>68</v>
      </c>
    </row>
    <row r="9" spans="1:9">
      <c r="A9" s="1"/>
      <c r="B9" s="1"/>
      <c r="C9" s="1"/>
      <c r="D9" s="1"/>
      <c r="E9" s="1"/>
      <c r="F9" s="1"/>
      <c r="H9" t="s">
        <v>76</v>
      </c>
      <c r="I9" t="s">
        <v>76</v>
      </c>
    </row>
    <row r="10" spans="1:9">
      <c r="A10" s="1"/>
      <c r="B10" s="1"/>
      <c r="C10" s="1"/>
      <c r="D10" s="1"/>
      <c r="E10" s="1"/>
      <c r="F10" s="1"/>
      <c r="H10" t="s">
        <v>72</v>
      </c>
      <c r="I10" t="s">
        <v>72</v>
      </c>
    </row>
    <row r="11" spans="1:9">
      <c r="A11" s="1"/>
      <c r="B11" s="1"/>
      <c r="C11" s="1"/>
      <c r="D11" s="1"/>
      <c r="E11" s="1"/>
      <c r="F11" s="1"/>
      <c r="H11" t="s">
        <v>91</v>
      </c>
      <c r="I11" t="s">
        <v>70</v>
      </c>
    </row>
    <row r="12" spans="1:9">
      <c r="A12" s="1"/>
      <c r="B12" s="1"/>
      <c r="C12" s="1"/>
      <c r="D12" s="1"/>
      <c r="E12" s="1"/>
      <c r="F12" s="1"/>
    </row>
    <row r="13" spans="1:9">
      <c r="A13" s="1"/>
      <c r="B13" s="1"/>
      <c r="C13" s="1"/>
      <c r="D13" s="1"/>
      <c r="E13" s="1"/>
      <c r="F13" s="1"/>
    </row>
    <row r="14" spans="1:9">
      <c r="A14" s="1"/>
      <c r="B14" s="1"/>
      <c r="C14" s="1"/>
      <c r="D14" s="1"/>
      <c r="E14" s="1"/>
      <c r="F14" s="1"/>
    </row>
    <row r="15" spans="1:9">
      <c r="A15" s="1"/>
      <c r="B15" s="1"/>
      <c r="C15" s="1"/>
      <c r="D15" s="1"/>
      <c r="E15" s="1"/>
      <c r="F15" s="1"/>
    </row>
    <row r="16" spans="1:9">
      <c r="A16" s="1"/>
      <c r="B16" s="1"/>
      <c r="C16" s="1"/>
      <c r="D16" s="1"/>
      <c r="E16" s="1"/>
      <c r="F16" s="1"/>
    </row>
    <row r="17" spans="1:6">
      <c r="A17" s="1"/>
      <c r="B17" s="1"/>
      <c r="C17" s="1"/>
      <c r="D17" s="1"/>
      <c r="E17" s="1"/>
      <c r="F17" s="1"/>
    </row>
    <row r="18" spans="1:6">
      <c r="A18" s="1"/>
      <c r="B18" s="1"/>
      <c r="C18" s="1"/>
      <c r="D18" s="1"/>
      <c r="E18" s="1"/>
      <c r="F18" s="1"/>
    </row>
    <row r="19" spans="1:6">
      <c r="A19" s="1"/>
      <c r="B19" s="1"/>
      <c r="C19" s="1"/>
      <c r="D19" s="1"/>
      <c r="E19" s="1"/>
      <c r="F19" s="1"/>
    </row>
    <row r="20" spans="1:6">
      <c r="A20" s="1"/>
      <c r="B20" s="1"/>
      <c r="C20" s="1"/>
      <c r="D20" s="1"/>
      <c r="E20" s="1"/>
      <c r="F20" s="1"/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9DB10-8960-45CE-801F-AEB3C13C19EF}">
  <sheetPr>
    <tabColor rgb="FF3F7F3F"/>
  </sheetPr>
  <dimension ref="A1:U12"/>
  <sheetViews>
    <sheetView showGridLines="0" workbookViewId="0">
      <selection activeCell="K5" sqref="K5"/>
    </sheetView>
  </sheetViews>
  <sheetFormatPr defaultRowHeight="16.8"/>
  <cols>
    <col min="1" max="1" width="16" bestFit="1" customWidth="1"/>
    <col min="2" max="2" width="23.296875" bestFit="1" customWidth="1"/>
    <col min="3" max="3" width="27" bestFit="1" customWidth="1"/>
    <col min="4" max="4" width="17.5" bestFit="1" customWidth="1"/>
    <col min="5" max="5" width="14" bestFit="1" customWidth="1"/>
    <col min="6" max="6" width="17.59765625" bestFit="1" customWidth="1"/>
    <col min="7" max="7" width="14.59765625" bestFit="1" customWidth="1"/>
    <col min="8" max="8" width="15.3984375" bestFit="1" customWidth="1"/>
    <col min="9" max="9" width="12.8984375" bestFit="1" customWidth="1"/>
    <col min="10" max="10" width="10.19921875" bestFit="1" customWidth="1"/>
    <col min="11" max="11" width="16" bestFit="1" customWidth="1"/>
    <col min="12" max="12" width="8" bestFit="1" customWidth="1"/>
    <col min="13" max="13" width="7.8984375" bestFit="1" customWidth="1"/>
    <col min="14" max="14" width="7.5" bestFit="1" customWidth="1"/>
    <col min="15" max="15" width="13.09765625" style="2" bestFit="1" customWidth="1"/>
    <col min="16" max="16" width="13.09765625" bestFit="1" customWidth="1"/>
    <col min="17" max="17" width="7.5" style="2" bestFit="1" customWidth="1"/>
    <col min="18" max="18" width="13.09765625" bestFit="1" customWidth="1"/>
  </cols>
  <sheetData>
    <row r="1" spans="1:21" ht="23.4">
      <c r="A1" s="63" t="s">
        <v>84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</row>
    <row r="2" spans="1:2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1"/>
      <c r="P2" s="19"/>
      <c r="Q2" s="21"/>
      <c r="R2" s="19"/>
    </row>
    <row r="3" spans="1:21">
      <c r="A3" s="64" t="s">
        <v>90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</row>
    <row r="4" spans="1:21">
      <c r="A4" s="19" t="s">
        <v>2</v>
      </c>
      <c r="B4" s="19" t="s">
        <v>6</v>
      </c>
      <c r="C4" s="19" t="s">
        <v>10</v>
      </c>
      <c r="D4" s="19" t="s">
        <v>11</v>
      </c>
      <c r="E4" s="19" t="s">
        <v>7</v>
      </c>
      <c r="F4" s="19" t="s">
        <v>8</v>
      </c>
      <c r="G4" s="19" t="s">
        <v>9</v>
      </c>
      <c r="H4" s="19" t="s">
        <v>13</v>
      </c>
      <c r="I4" s="19" t="s">
        <v>14</v>
      </c>
      <c r="J4" s="19" t="s">
        <v>15</v>
      </c>
      <c r="K4" s="19" t="s">
        <v>17</v>
      </c>
      <c r="L4" s="19" t="s">
        <v>18</v>
      </c>
      <c r="M4" s="19" t="s">
        <v>20</v>
      </c>
      <c r="N4" s="21" t="s">
        <v>21</v>
      </c>
      <c r="O4" s="19" t="s">
        <v>22</v>
      </c>
      <c r="Q4"/>
    </row>
    <row r="5" spans="1:21" s="10" customFormat="1" ht="96.6">
      <c r="A5" s="23" t="s">
        <v>68</v>
      </c>
      <c r="B5" s="25" t="str">
        <f>_xlfn.LET(_xlpm.x,_xlfn.XLOOKUP(tblSketchUpDetails[[#This Row],[Product / Service]],tblLicenses[Product / Service],tblLicenses[License Key / Contract Ref],""),IF(_xlpm.x=0,"",_xlpm.x))</f>
        <v/>
      </c>
      <c r="C5" s="29"/>
      <c r="D5" s="29"/>
      <c r="E5" s="23">
        <f>_xlfn.XLOOKUP(tblSketchUpDetails[[#This Row],[Product / Service]],tblLicenses[Product / Service],tblLicenses[Total Seats],0)</f>
        <v>2</v>
      </c>
      <c r="F5" s="23">
        <f>COUNTIF(tblSketchUpUsers[Assignment Status],"Assigned")</f>
        <v>2</v>
      </c>
      <c r="G5" s="23">
        <f>MAX(0,tblSketchUpDetails[[#This Row],[Total Seats]]-tblSketchUpDetails[[#This Row],[Assigned Seats]])</f>
        <v>0</v>
      </c>
      <c r="H5" s="23" t="str">
        <f>_xlfn.LET(_xlpm.x,_xlfn.XLOOKUP(tblSketchUpDetails[[#This Row],[Product / Service]],tblLicenses[Product / Service],tblLicenses[Renewal Type],""),IF(_xlpm.x=0,"",_xlpm.x))</f>
        <v>Manual</v>
      </c>
      <c r="I5" s="23" t="str">
        <f>_xlfn.LET(_xlpm.x,_xlfn.XLOOKUP(tblSketchUpDetails[[#This Row],[Product / Service]],tblLicenses[Product / Service],tblLicenses[Billing Cycle],""),IF(_xlpm.x=0,"",_xlpm.x))</f>
        <v>Annual</v>
      </c>
      <c r="J5" s="24">
        <f>_xlfn.XLOOKUP(tblSketchUpDetails[[#This Row],[Product / Service]],tblLicenses[Product / Service],tblLicenses[Unit Cost],0)</f>
        <v>14000</v>
      </c>
      <c r="K5" s="24">
        <f>_xlfn.XLOOKUP(tblSketchUpDetails[[#This Row],[Product / Service]],tblLicenses[Product / Service],tblLicenses[Annual Cost],0)</f>
        <v>28000</v>
      </c>
      <c r="L5" s="23" t="str">
        <f>_xlfn.LET(_xlpm.x,_xlfn.XLOOKUP(tblSketchUpDetails[[#This Row],[Product / Service]],tblLicenses[Product / Service],tblLicenses[Owner],""),IF(_xlpm.x=0,"",_xlpm.x))</f>
        <v>IT Admin</v>
      </c>
      <c r="M5" s="23" t="str">
        <f>_xlfn.XLOOKUP(tblSketchUpDetails[[#This Row],[Product / Service]],tblLicenses[Product / Service],tblLicenses[Status],"")</f>
        <v>Active</v>
      </c>
      <c r="N5" s="25" t="str">
        <f>_xlfn.LET(_xlpm.x,_xlfn.XLOOKUP(tblSketchUpDetails[[#This Row],[Product / Service]],tblLicenses[Product / Service],tblLicenses[Notes],""),IF(_xlpm.x=0,"",_xlpm.x))</f>
        <v xml:space="preserve">
SketchUp Pro, Channel, annual termed contract</v>
      </c>
      <c r="O5" s="29">
        <f ca="1">_xlfn.XLOOKUP(tblSketchUpDetails[[#This Row],[Product / Service]],tblLicenses[Product / Service],tblLicenses[Last Updated],"")</f>
        <v>46279</v>
      </c>
    </row>
    <row r="6" spans="1:21">
      <c r="A6" s="54" t="s">
        <v>284</v>
      </c>
      <c r="B6" s="55"/>
      <c r="C6" s="54"/>
      <c r="D6" s="54"/>
      <c r="E6" s="54"/>
      <c r="F6" s="54"/>
      <c r="G6" s="54"/>
      <c r="H6" s="54"/>
      <c r="I6" s="54"/>
      <c r="J6" s="56">
        <f>SUBTOTAL(109,tblSketchUpDetails[Unit Cost])</f>
        <v>14000</v>
      </c>
      <c r="K6" s="56">
        <f>SUBTOTAL(109,tblSketchUpDetails[Annual Cost])</f>
        <v>28000</v>
      </c>
      <c r="L6" s="54"/>
      <c r="M6" s="54"/>
      <c r="N6" s="55"/>
      <c r="O6" s="54">
        <f ca="1">SUBTOTAL(103,tblSketchUpDetails[Last Updated])</f>
        <v>1</v>
      </c>
      <c r="P6" s="19"/>
      <c r="Q6" s="21"/>
      <c r="R6" s="19"/>
    </row>
    <row r="7" spans="1:21" s="32" customFormat="1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21"/>
      <c r="P7" s="30"/>
      <c r="Q7" s="31"/>
      <c r="R7" s="30"/>
    </row>
    <row r="8" spans="1:21">
      <c r="A8" s="64" t="s">
        <v>100</v>
      </c>
      <c r="B8" s="64"/>
      <c r="C8" s="64"/>
      <c r="D8" s="64"/>
      <c r="E8" s="64"/>
      <c r="F8" s="64"/>
      <c r="G8" s="64"/>
      <c r="H8" s="64"/>
      <c r="I8" s="30"/>
      <c r="J8" s="30"/>
      <c r="K8" s="30"/>
      <c r="L8" s="30"/>
      <c r="M8" s="30"/>
      <c r="N8" s="30"/>
      <c r="O8" s="31"/>
      <c r="P8" s="19"/>
      <c r="Q8" s="19"/>
      <c r="R8" s="21"/>
      <c r="S8" s="19"/>
      <c r="T8" s="21"/>
      <c r="U8" s="19"/>
    </row>
    <row r="9" spans="1:21">
      <c r="A9" s="19" t="s">
        <v>59</v>
      </c>
      <c r="B9" s="19" t="s">
        <v>60</v>
      </c>
      <c r="C9" s="19" t="s">
        <v>82</v>
      </c>
      <c r="D9" s="19" t="s">
        <v>61</v>
      </c>
      <c r="E9" s="19" t="s">
        <v>62</v>
      </c>
      <c r="F9" s="19" t="s">
        <v>63</v>
      </c>
      <c r="G9" s="19" t="s">
        <v>12</v>
      </c>
      <c r="H9" s="19" t="s">
        <v>282</v>
      </c>
      <c r="I9" s="19" t="s">
        <v>98</v>
      </c>
      <c r="J9" s="19" t="s">
        <v>21</v>
      </c>
      <c r="K9" s="19" t="s">
        <v>2</v>
      </c>
      <c r="L9" s="19"/>
      <c r="M9" s="19"/>
      <c r="N9" s="19"/>
      <c r="O9" s="19"/>
      <c r="P9" s="19"/>
      <c r="Q9" s="19"/>
      <c r="R9" s="21"/>
      <c r="S9" s="19"/>
      <c r="T9" s="21"/>
      <c r="U9" s="19"/>
    </row>
    <row r="10" spans="1:21" ht="16.8" customHeight="1">
      <c r="A10" s="19">
        <v>1</v>
      </c>
      <c r="B10" s="19" t="s">
        <v>94</v>
      </c>
      <c r="C10" s="33" t="s">
        <v>96</v>
      </c>
      <c r="D10" s="19" t="s">
        <v>109</v>
      </c>
      <c r="E10" s="28"/>
      <c r="F10" s="19" t="str">
        <f>IF(tblSketchUpUsers[[#This Row],[User Name]]="","Unassigned","Assigned")</f>
        <v>Assigned</v>
      </c>
      <c r="G10" s="28">
        <v>46504</v>
      </c>
      <c r="H10" s="48">
        <f ca="1">IF(tblSketchUpUsers[[#This Row],[Expiry Date]]="","",tblSketchUpUsers[[#This Row],[Expiry Date]]-TODAY())</f>
        <v>225</v>
      </c>
      <c r="I10" s="19" t="str">
        <f ca="1">IF(tblSketchUpUsers[[#This Row],[Expiry Date]]="","No Expiry",IF(tblSketchUpUsers[[#This Row],[Expiry Date]]&lt;TODAY(),"Expired",IF(tblSketchUpUsers[[#This Row],[Expiry Date]]-TODAY()&lt;=30,"Renew Soon","Active")))</f>
        <v>Active</v>
      </c>
      <c r="J10" s="19"/>
      <c r="K10" s="19" t="s">
        <v>68</v>
      </c>
      <c r="L10" s="19"/>
      <c r="M10" s="19"/>
      <c r="N10" s="19"/>
      <c r="O10" s="19"/>
      <c r="P10" s="19"/>
      <c r="Q10" s="19"/>
      <c r="R10" s="21"/>
      <c r="S10" s="19"/>
      <c r="T10" s="21"/>
      <c r="U10" s="19"/>
    </row>
    <row r="11" spans="1:21" ht="28.8">
      <c r="A11" s="19">
        <v>2</v>
      </c>
      <c r="B11" s="21" t="s">
        <v>95</v>
      </c>
      <c r="C11" s="33" t="s">
        <v>97</v>
      </c>
      <c r="D11" s="19" t="s">
        <v>120</v>
      </c>
      <c r="E11" s="28"/>
      <c r="F11" s="19" t="str">
        <f>IF(tblSketchUpUsers[[#This Row],[User Name]]="","Unassigned","Assigned")</f>
        <v>Assigned</v>
      </c>
      <c r="G11" s="28">
        <v>46377</v>
      </c>
      <c r="H11" s="48">
        <f ca="1">IF(tblSketchUpUsers[[#This Row],[Expiry Date]]="","",tblSketchUpUsers[[#This Row],[Expiry Date]]-TODAY())</f>
        <v>98</v>
      </c>
      <c r="I11" s="19" t="str">
        <f ca="1">IF(tblSketchUpUsers[[#This Row],[Expiry Date]]="","No Expiry",IF(tblSketchUpUsers[[#This Row],[Expiry Date]]&lt;TODAY(),"Expired",IF(tblSketchUpUsers[[#This Row],[Expiry Date]]-TODAY()&lt;=30,"Renew Soon","Active")))</f>
        <v>Active</v>
      </c>
      <c r="J11" s="19"/>
      <c r="K11" s="19" t="s">
        <v>68</v>
      </c>
      <c r="L11" s="19"/>
      <c r="M11" s="19"/>
      <c r="N11" s="19"/>
      <c r="O11" s="19"/>
      <c r="P11" s="19"/>
      <c r="Q11" s="21"/>
      <c r="R11" s="19"/>
    </row>
    <row r="12" spans="1:21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21"/>
    </row>
  </sheetData>
  <mergeCells count="3">
    <mergeCell ref="A1:R1"/>
    <mergeCell ref="A3:R3"/>
    <mergeCell ref="A8:H8"/>
  </mergeCells>
  <conditionalFormatting sqref="H10:H11">
    <cfRule type="expression" dxfId="65" priority="12">
      <formula>AND(ISNUMBER($H10),$H10&lt;30)</formula>
    </cfRule>
  </conditionalFormatting>
  <conditionalFormatting sqref="I10:I11">
    <cfRule type="expression" dxfId="64" priority="8">
      <formula>$I10="Active"</formula>
    </cfRule>
    <cfRule type="expression" dxfId="63" priority="9">
      <formula>$I10="Renew Soon"</formula>
    </cfRule>
    <cfRule type="expression" dxfId="62" priority="10">
      <formula>$I10="Expired"</formula>
    </cfRule>
    <cfRule type="expression" dxfId="61" priority="11">
      <formula>$I10="No Expiry"</formula>
    </cfRule>
  </conditionalFormatting>
  <conditionalFormatting sqref="M5">
    <cfRule type="expression" dxfId="60" priority="1">
      <formula>$M5="Active"</formula>
    </cfRule>
    <cfRule type="expression" dxfId="59" priority="2">
      <formula>$M5="No Expiry"</formula>
    </cfRule>
    <cfRule type="expression" dxfId="58" priority="3">
      <formula>$M5="Renew Soon"</formula>
    </cfRule>
    <cfRule type="expression" dxfId="57" priority="4">
      <formula>$M5="Expired"</formula>
    </cfRule>
    <cfRule type="expression" dxfId="56" priority="5">
      <formula>$M5="Assigned"</formula>
    </cfRule>
    <cfRule type="expression" dxfId="55" priority="6">
      <formula>$M5="Assigned - Name pending"</formula>
    </cfRule>
    <cfRule type="expression" dxfId="54" priority="7">
      <formula>$M5="Unassigned"</formula>
    </cfRule>
  </conditionalFormatting>
  <hyperlinks>
    <hyperlink ref="C10" r:id="rId1" xr:uid="{914DBEF8-8C55-450B-9FC3-A63C4C59827C}"/>
    <hyperlink ref="C11" r:id="rId2" xr:uid="{4E87F517-479D-4E6E-AF07-FA44F0327D43}"/>
  </hyperlinks>
  <pageMargins left="0.7" right="0.7" top="0.75" bottom="0.75" header="0.3" footer="0.3"/>
  <tableParts count="2"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B039E-CBBA-466C-A132-F6C19B8DFB70}">
  <sheetPr>
    <tabColor rgb="FF7F6000"/>
  </sheetPr>
  <dimension ref="A1:U15"/>
  <sheetViews>
    <sheetView showGridLines="0" workbookViewId="0">
      <selection activeCell="J4" sqref="J4"/>
    </sheetView>
  </sheetViews>
  <sheetFormatPr defaultRowHeight="16.8"/>
  <cols>
    <col min="1" max="1" width="16" bestFit="1" customWidth="1"/>
    <col min="2" max="2" width="26.296875" bestFit="1" customWidth="1"/>
    <col min="3" max="3" width="28" bestFit="1" customWidth="1"/>
    <col min="4" max="4" width="17.5" bestFit="1" customWidth="1"/>
    <col min="5" max="5" width="14" bestFit="1" customWidth="1"/>
    <col min="6" max="6" width="17.59765625" bestFit="1" customWidth="1"/>
    <col min="7" max="7" width="14.59765625" bestFit="1" customWidth="1"/>
    <col min="8" max="8" width="15.3984375" bestFit="1" customWidth="1"/>
    <col min="9" max="9" width="12.8984375" bestFit="1" customWidth="1"/>
    <col min="10" max="10" width="10.19921875" bestFit="1" customWidth="1"/>
    <col min="11" max="11" width="16" bestFit="1" customWidth="1"/>
    <col min="12" max="12" width="8" bestFit="1" customWidth="1"/>
    <col min="13" max="13" width="7.8984375" bestFit="1" customWidth="1"/>
    <col min="14" max="14" width="7.5" bestFit="1" customWidth="1"/>
    <col min="15" max="15" width="13.09765625" style="2" bestFit="1" customWidth="1"/>
    <col min="16" max="16" width="13.09765625" bestFit="1" customWidth="1"/>
    <col min="17" max="17" width="7.5" style="2" bestFit="1" customWidth="1"/>
    <col min="18" max="18" width="13.09765625" bestFit="1" customWidth="1"/>
  </cols>
  <sheetData>
    <row r="1" spans="1:21" ht="23.4">
      <c r="A1" s="63" t="s">
        <v>85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</row>
    <row r="2" spans="1:2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1"/>
      <c r="P2" s="19"/>
      <c r="Q2" s="21"/>
      <c r="R2" s="19"/>
    </row>
    <row r="3" spans="1:21">
      <c r="A3" s="64" t="s">
        <v>90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</row>
    <row r="4" spans="1:21">
      <c r="A4" s="19" t="s">
        <v>2</v>
      </c>
      <c r="B4" s="19" t="s">
        <v>6</v>
      </c>
      <c r="C4" s="19" t="s">
        <v>10</v>
      </c>
      <c r="D4" s="19" t="s">
        <v>11</v>
      </c>
      <c r="E4" s="19" t="s">
        <v>7</v>
      </c>
      <c r="F4" s="19" t="s">
        <v>8</v>
      </c>
      <c r="G4" s="19" t="s">
        <v>9</v>
      </c>
      <c r="H4" s="19" t="s">
        <v>13</v>
      </c>
      <c r="I4" s="19" t="s">
        <v>14</v>
      </c>
      <c r="J4" s="19" t="s">
        <v>15</v>
      </c>
      <c r="K4" s="19" t="s">
        <v>17</v>
      </c>
      <c r="L4" s="19" t="s">
        <v>18</v>
      </c>
      <c r="M4" s="19" t="s">
        <v>20</v>
      </c>
      <c r="N4" s="21" t="s">
        <v>21</v>
      </c>
      <c r="O4" s="19" t="s">
        <v>22</v>
      </c>
      <c r="Q4"/>
    </row>
    <row r="5" spans="1:21" ht="82.8">
      <c r="A5" s="23" t="s">
        <v>76</v>
      </c>
      <c r="B5" s="25" t="str">
        <f>_xlfn.LET(_xlpm.x,_xlfn.XLOOKUP(tblAutodeskDetails[[#This Row],[Product / Service]],tblLicenses[Product / Service],tblLicenses[License Key / Contract Ref],""),IF(_xlpm.x=0,"",_xlpm.x))</f>
        <v>Contract #110004964008 - 2 seats Exp.27 Feb 25 - 26 Feb 27
Contract #110005166958 - 2 seats Exp.28 Apr 26 - 27 Apr 27
Contract #110005229552 - 1 seat Exp 2 Sep 26 - 1 Sep 27</v>
      </c>
      <c r="C5" s="28"/>
      <c r="D5" s="28"/>
      <c r="E5" s="23">
        <f>_xlfn.XLOOKUP(tblAutodeskDetails[[#This Row],[Product / Service]],tblLicenses[Product / Service],tblLicenses[Total Seats],0)</f>
        <v>5</v>
      </c>
      <c r="F5" s="23">
        <f>COUNTIF(tblAutodeskUsers[Assignment Status],"Assigned")</f>
        <v>5</v>
      </c>
      <c r="G5" s="23">
        <f>MAX(0,tblAutodeskDetails[[#This Row],[Total Seats]]-tblAutodeskDetails[[#This Row],[Assigned Seats]])</f>
        <v>0</v>
      </c>
      <c r="H5" s="23" t="str">
        <f>_xlfn.LET(_xlpm.x,_xlfn.XLOOKUP(tblAutodeskDetails[[#This Row],[Product / Service]],tblLicenses[Product / Service],tblLicenses[Renewal Type],""),IF(_xlpm.x=0,"",_xlpm.x))</f>
        <v>Manual</v>
      </c>
      <c r="I5" s="23" t="str">
        <f>_xlfn.LET(_xlpm.x,_xlfn.XLOOKUP(tblAutodeskDetails[[#This Row],[Product / Service]],tblLicenses[Product / Service],tblLicenses[Billing Cycle],""),IF(_xlpm.x=0,"",_xlpm.x))</f>
        <v>Annual</v>
      </c>
      <c r="J5" s="24">
        <f>_xlfn.XLOOKUP(tblAutodeskDetails[[#This Row],[Product / Service]],tblLicenses[Product / Service],tblLicenses[Unit Cost],0)</f>
        <v>16400</v>
      </c>
      <c r="K5" s="24">
        <f>_xlfn.XLOOKUP(tblAutodeskDetails[[#This Row],[Product / Service]],tblLicenses[Product / Service],tblLicenses[Annual Cost],0)</f>
        <v>82000</v>
      </c>
      <c r="L5" s="23" t="str">
        <f>_xlfn.LET(_xlpm.x,_xlfn.XLOOKUP(tblAutodeskDetails[[#This Row],[Product / Service]],tblLicenses[Product / Service],tblLicenses[Owner],""),IF(_xlpm.x=0,"",_xlpm.x))</f>
        <v>IT Admin</v>
      </c>
      <c r="M5" s="23" t="str">
        <f>_xlfn.XLOOKUP(tblAutodeskDetails[[#This Row],[Product / Service]],tblLicenses[Product / Service],tblLicenses[Status],"")</f>
        <v>Active</v>
      </c>
      <c r="N5" s="25" t="str">
        <f>_xlfn.LET(_xlpm.x,_xlfn.XLOOKUP(tblAutodeskDetails[[#This Row],[Product / Service]],tblLicenses[Product / Service],tblLicenses[Notes],""),IF(_xlpm.x=0,"",_xlpm.x))</f>
        <v/>
      </c>
      <c r="O5" s="29">
        <f ca="1">_xlfn.XLOOKUP(tblAutodeskDetails[[#This Row],[Product / Service]],tblLicenses[Product / Service],tblLicenses[Last Updated],"")</f>
        <v>46279</v>
      </c>
      <c r="Q5"/>
    </row>
    <row r="6" spans="1:21">
      <c r="A6" s="54" t="s">
        <v>284</v>
      </c>
      <c r="B6" s="55"/>
      <c r="C6" s="50"/>
      <c r="D6" s="50"/>
      <c r="E6" s="54"/>
      <c r="F6" s="54"/>
      <c r="G6" s="54"/>
      <c r="H6" s="54"/>
      <c r="I6" s="54"/>
      <c r="J6" s="56">
        <f>SUBTOTAL(109,tblAutodeskDetails[Unit Cost])</f>
        <v>16400</v>
      </c>
      <c r="K6" s="56">
        <f>SUBTOTAL(109,tblAutodeskDetails[Annual Cost])</f>
        <v>82000</v>
      </c>
      <c r="L6" s="54"/>
      <c r="M6" s="54"/>
      <c r="N6" s="55"/>
      <c r="O6" s="54">
        <f ca="1">SUBTOTAL(103,tblAutodeskDetails[Last Updated])</f>
        <v>1</v>
      </c>
      <c r="P6" s="19"/>
      <c r="Q6" s="21"/>
      <c r="R6" s="19"/>
    </row>
    <row r="7" spans="1:21" s="32" customFormat="1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21"/>
      <c r="P7" s="30"/>
      <c r="Q7" s="31"/>
      <c r="R7" s="30"/>
    </row>
    <row r="8" spans="1:21">
      <c r="A8" s="64" t="s">
        <v>101</v>
      </c>
      <c r="B8" s="64"/>
      <c r="C8" s="64"/>
      <c r="D8" s="64"/>
      <c r="E8" s="64"/>
      <c r="F8" s="64"/>
      <c r="G8" s="64"/>
      <c r="H8" s="64"/>
      <c r="I8" s="30"/>
      <c r="J8" s="30"/>
      <c r="K8" s="30"/>
      <c r="L8" s="30"/>
      <c r="M8" s="30"/>
      <c r="N8" s="30"/>
      <c r="O8" s="31"/>
      <c r="P8" s="19"/>
      <c r="Q8" s="19"/>
      <c r="R8" s="21"/>
      <c r="S8" s="19"/>
      <c r="T8" s="21"/>
      <c r="U8" s="19"/>
    </row>
    <row r="9" spans="1:21">
      <c r="A9" s="19" t="s">
        <v>59</v>
      </c>
      <c r="B9" s="19" t="s">
        <v>60</v>
      </c>
      <c r="C9" s="19" t="s">
        <v>82</v>
      </c>
      <c r="D9" s="19" t="s">
        <v>61</v>
      </c>
      <c r="E9" s="19" t="s">
        <v>62</v>
      </c>
      <c r="F9" s="19" t="s">
        <v>63</v>
      </c>
      <c r="G9" s="19" t="s">
        <v>12</v>
      </c>
      <c r="H9" s="19" t="s">
        <v>282</v>
      </c>
      <c r="I9" s="19" t="s">
        <v>98</v>
      </c>
      <c r="J9" s="19" t="s">
        <v>21</v>
      </c>
      <c r="K9" s="19" t="s">
        <v>2</v>
      </c>
      <c r="L9" s="19"/>
      <c r="M9" s="19"/>
      <c r="N9" s="19"/>
      <c r="O9" s="19"/>
      <c r="P9" s="19"/>
      <c r="Q9" s="19"/>
      <c r="R9" s="21"/>
      <c r="S9" s="19"/>
      <c r="T9" s="21"/>
      <c r="U9" s="19"/>
    </row>
    <row r="10" spans="1:21">
      <c r="A10" s="19">
        <v>1</v>
      </c>
      <c r="B10" s="34" t="s">
        <v>94</v>
      </c>
      <c r="C10" s="35" t="s">
        <v>96</v>
      </c>
      <c r="D10" s="19" t="s">
        <v>109</v>
      </c>
      <c r="E10" s="28"/>
      <c r="F10" s="19" t="str">
        <f>IF(tblAutodeskUsers[[#This Row],[User Name]]="","Unassigned","Assigned")</f>
        <v>Assigned</v>
      </c>
      <c r="G10" s="28">
        <v>46504</v>
      </c>
      <c r="H10" s="48">
        <f ca="1">IF(tblAutodeskUsers[[#This Row],[Expiry Date]]="","",tblAutodeskUsers[[#This Row],[Expiry Date]]-TODAY())</f>
        <v>225</v>
      </c>
      <c r="I10" s="19" t="str">
        <f ca="1">IF(tblAutodeskUsers[[#This Row],[Expiry Date]]="","No Expiry",IF(tblAutodeskUsers[[#This Row],[Expiry Date]]&lt;TODAY(),"Expired",IF(tblAutodeskUsers[[#This Row],[Expiry Date]]-TODAY()&lt;=30,"Renew Soon","Active")))</f>
        <v>Active</v>
      </c>
      <c r="J10" s="19"/>
      <c r="K10" s="19" t="s">
        <v>76</v>
      </c>
      <c r="L10" s="19"/>
      <c r="M10" s="19"/>
      <c r="N10" s="19"/>
      <c r="O10" s="19"/>
      <c r="P10" s="19"/>
      <c r="Q10" s="19"/>
      <c r="R10" s="21"/>
      <c r="S10" s="19"/>
      <c r="T10" s="21"/>
      <c r="U10" s="19"/>
    </row>
    <row r="11" spans="1:21">
      <c r="A11" s="19">
        <v>2</v>
      </c>
      <c r="B11" s="34" t="s">
        <v>110</v>
      </c>
      <c r="C11" s="35" t="s">
        <v>114</v>
      </c>
      <c r="D11" s="19" t="s">
        <v>117</v>
      </c>
      <c r="E11" s="28"/>
      <c r="F11" s="19" t="str">
        <f>IF(tblAutodeskUsers[[#This Row],[User Name]]="","Unassigned","Assigned")</f>
        <v>Assigned</v>
      </c>
      <c r="G11" s="28">
        <v>46444</v>
      </c>
      <c r="H11" s="48">
        <f ca="1">IF(tblAutodeskUsers[[#This Row],[Expiry Date]]="","",tblAutodeskUsers[[#This Row],[Expiry Date]]-TODAY())</f>
        <v>165</v>
      </c>
      <c r="I11" s="19" t="str">
        <f ca="1">IF(tblAutodeskUsers[[#This Row],[Expiry Date]]="","No Expiry",IF(tblAutodeskUsers[[#This Row],[Expiry Date]]&lt;TODAY(),"Expired",IF(tblAutodeskUsers[[#This Row],[Expiry Date]]-TODAY()&lt;=30,"Renew Soon","Active")))</f>
        <v>Active</v>
      </c>
      <c r="J11" s="19"/>
      <c r="K11" s="19" t="s">
        <v>76</v>
      </c>
      <c r="L11" s="19"/>
      <c r="M11" s="19"/>
      <c r="N11" s="19"/>
      <c r="O11" s="19"/>
      <c r="P11" s="19"/>
      <c r="Q11" s="19"/>
      <c r="R11" s="21"/>
      <c r="S11" s="19"/>
      <c r="T11" s="21"/>
      <c r="U11" s="19"/>
    </row>
    <row r="12" spans="1:21">
      <c r="A12" s="19">
        <v>3</v>
      </c>
      <c r="B12" s="34" t="s">
        <v>111</v>
      </c>
      <c r="C12" s="35" t="s">
        <v>115</v>
      </c>
      <c r="D12" s="19" t="s">
        <v>118</v>
      </c>
      <c r="E12" s="28"/>
      <c r="F12" s="19" t="str">
        <f>IF(tblAutodeskUsers[[#This Row],[User Name]]="","Unassigned","Assigned")</f>
        <v>Assigned</v>
      </c>
      <c r="G12" s="28">
        <v>46504</v>
      </c>
      <c r="H12" s="48">
        <f ca="1">IF(tblAutodeskUsers[[#This Row],[Expiry Date]]="","",tblAutodeskUsers[[#This Row],[Expiry Date]]-TODAY())</f>
        <v>225</v>
      </c>
      <c r="I12" s="19" t="str">
        <f ca="1">IF(tblAutodeskUsers[[#This Row],[Expiry Date]]="","No Expiry",IF(tblAutodeskUsers[[#This Row],[Expiry Date]]&lt;TODAY(),"Expired",IF(tblAutodeskUsers[[#This Row],[Expiry Date]]-TODAY()&lt;=30,"Renew Soon","Active")))</f>
        <v>Active</v>
      </c>
      <c r="J12" s="19"/>
      <c r="K12" s="19" t="s">
        <v>76</v>
      </c>
      <c r="L12" s="19"/>
      <c r="M12" s="19"/>
      <c r="N12" s="19"/>
      <c r="O12" s="19"/>
      <c r="P12" s="19"/>
      <c r="Q12" s="19"/>
      <c r="R12" s="21"/>
      <c r="S12" s="19"/>
      <c r="T12" s="21"/>
      <c r="U12" s="19"/>
    </row>
    <row r="13" spans="1:21">
      <c r="A13" s="19">
        <v>4</v>
      </c>
      <c r="B13" s="34" t="s">
        <v>112</v>
      </c>
      <c r="C13" s="35" t="s">
        <v>116</v>
      </c>
      <c r="D13" s="19" t="s">
        <v>119</v>
      </c>
      <c r="E13" s="28"/>
      <c r="F13" s="19" t="str">
        <f>IF(tblAutodeskUsers[[#This Row],[User Name]]="","Unassigned","Assigned")</f>
        <v>Assigned</v>
      </c>
      <c r="G13" s="28">
        <v>46631</v>
      </c>
      <c r="H13" s="48">
        <f ca="1">IF(tblAutodeskUsers[[#This Row],[Expiry Date]]="","",tblAutodeskUsers[[#This Row],[Expiry Date]]-TODAY())</f>
        <v>352</v>
      </c>
      <c r="I13" s="19" t="str">
        <f ca="1">IF(tblAutodeskUsers[[#This Row],[Expiry Date]]="","No Expiry",IF(tblAutodeskUsers[[#This Row],[Expiry Date]]&lt;TODAY(),"Expired",IF(tblAutodeskUsers[[#This Row],[Expiry Date]]-TODAY()&lt;=30,"Renew Soon","Active")))</f>
        <v>Active</v>
      </c>
      <c r="J13" s="19"/>
      <c r="K13" s="19" t="s">
        <v>76</v>
      </c>
      <c r="L13" s="19"/>
      <c r="M13" s="19"/>
      <c r="N13" s="19"/>
      <c r="O13" s="19"/>
      <c r="P13" s="19"/>
      <c r="Q13" s="19"/>
      <c r="R13" s="21"/>
      <c r="S13" s="19"/>
      <c r="T13" s="21"/>
      <c r="U13" s="19"/>
    </row>
    <row r="14" spans="1:21">
      <c r="A14" s="19">
        <v>5</v>
      </c>
      <c r="B14" s="34" t="s">
        <v>113</v>
      </c>
      <c r="C14" s="35" t="s">
        <v>97</v>
      </c>
      <c r="D14" s="19" t="s">
        <v>120</v>
      </c>
      <c r="E14" s="28"/>
      <c r="F14" s="19" t="str">
        <f>IF(tblAutodeskUsers[[#This Row],[User Name]]="","Unassigned","Assigned")</f>
        <v>Assigned</v>
      </c>
      <c r="G14" s="28">
        <v>46444</v>
      </c>
      <c r="H14" s="48">
        <f ca="1">IF(tblAutodeskUsers[[#This Row],[Expiry Date]]="","",tblAutodeskUsers[[#This Row],[Expiry Date]]-TODAY())</f>
        <v>165</v>
      </c>
      <c r="I14" s="19" t="str">
        <f ca="1">IF(tblAutodeskUsers[[#This Row],[Expiry Date]]="","No Expiry",IF(tblAutodeskUsers[[#This Row],[Expiry Date]]&lt;TODAY(),"Expired",IF(tblAutodeskUsers[[#This Row],[Expiry Date]]-TODAY()&lt;=30,"Renew Soon","Active")))</f>
        <v>Active</v>
      </c>
      <c r="J14" s="19"/>
      <c r="K14" s="19" t="s">
        <v>76</v>
      </c>
      <c r="L14" s="19"/>
      <c r="M14" s="19"/>
      <c r="N14" s="19"/>
      <c r="O14" s="19"/>
      <c r="P14" s="19"/>
      <c r="Q14" s="21"/>
      <c r="R14" s="19"/>
    </row>
    <row r="15" spans="1:21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21"/>
    </row>
  </sheetData>
  <mergeCells count="3">
    <mergeCell ref="A1:R1"/>
    <mergeCell ref="A3:R3"/>
    <mergeCell ref="A8:H8"/>
  </mergeCells>
  <conditionalFormatting sqref="H10:H14">
    <cfRule type="expression" dxfId="53" priority="12">
      <formula>AND(ISNUMBER($H10),$H10&lt;30)</formula>
    </cfRule>
  </conditionalFormatting>
  <conditionalFormatting sqref="I10:I14">
    <cfRule type="expression" dxfId="52" priority="8">
      <formula>$I10="Active"</formula>
    </cfRule>
    <cfRule type="expression" dxfId="51" priority="9">
      <formula>$I10="Renew Soon"</formula>
    </cfRule>
    <cfRule type="expression" dxfId="50" priority="10">
      <formula>$I10="Expired"</formula>
    </cfRule>
    <cfRule type="expression" dxfId="49" priority="11">
      <formula>$I10="No Expiry"</formula>
    </cfRule>
  </conditionalFormatting>
  <conditionalFormatting sqref="M5">
    <cfRule type="expression" dxfId="48" priority="1">
      <formula>$M5="Active"</formula>
    </cfRule>
    <cfRule type="expression" dxfId="47" priority="2">
      <formula>$M5="No Expiry"</formula>
    </cfRule>
    <cfRule type="expression" dxfId="46" priority="3">
      <formula>$M5="Renew Soon"</formula>
    </cfRule>
    <cfRule type="expression" dxfId="45" priority="4">
      <formula>$M5="Expired"</formula>
    </cfRule>
    <cfRule type="expression" dxfId="44" priority="5">
      <formula>$M5="Assigned"</formula>
    </cfRule>
    <cfRule type="expression" dxfId="43" priority="6">
      <formula>$M5="Assigned - Name pending"</formula>
    </cfRule>
    <cfRule type="expression" dxfId="42" priority="7">
      <formula>$M5="Unassigned"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6B61C-39E7-4100-8821-987AB154C33F}">
  <sheetPr>
    <tabColor rgb="FF7030A0"/>
  </sheetPr>
  <dimension ref="A1:U11"/>
  <sheetViews>
    <sheetView showGridLines="0" workbookViewId="0">
      <selection activeCell="J4" sqref="J4"/>
    </sheetView>
  </sheetViews>
  <sheetFormatPr defaultRowHeight="16.8"/>
  <cols>
    <col min="1" max="1" width="16" bestFit="1" customWidth="1"/>
    <col min="2" max="2" width="23.296875" bestFit="1" customWidth="1"/>
    <col min="3" max="3" width="15.19921875" bestFit="1" customWidth="1"/>
    <col min="4" max="4" width="17.5" bestFit="1" customWidth="1"/>
    <col min="5" max="5" width="14" bestFit="1" customWidth="1"/>
    <col min="6" max="6" width="17.59765625" bestFit="1" customWidth="1"/>
    <col min="7" max="7" width="14.59765625" bestFit="1" customWidth="1"/>
    <col min="8" max="8" width="15.3984375" bestFit="1" customWidth="1"/>
    <col min="9" max="9" width="12.8984375" bestFit="1" customWidth="1"/>
    <col min="10" max="10" width="10.19921875" bestFit="1" customWidth="1"/>
    <col min="11" max="11" width="16" bestFit="1" customWidth="1"/>
    <col min="12" max="12" width="8" bestFit="1" customWidth="1"/>
    <col min="13" max="13" width="7.8984375" bestFit="1" customWidth="1"/>
    <col min="14" max="14" width="35.796875" bestFit="1" customWidth="1"/>
    <col min="15" max="15" width="13.09765625" style="2" bestFit="1" customWidth="1"/>
    <col min="16" max="16" width="13.09765625" bestFit="1" customWidth="1"/>
    <col min="17" max="17" width="43" style="2" bestFit="1" customWidth="1"/>
    <col min="18" max="18" width="13.09765625" bestFit="1" customWidth="1"/>
  </cols>
  <sheetData>
    <row r="1" spans="1:21" ht="23.4">
      <c r="A1" s="63" t="s">
        <v>86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</row>
    <row r="2" spans="1:2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1"/>
      <c r="P2" s="19"/>
      <c r="Q2" s="21"/>
      <c r="R2" s="19"/>
    </row>
    <row r="3" spans="1:21">
      <c r="A3" s="64" t="s">
        <v>90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</row>
    <row r="4" spans="1:21">
      <c r="A4" s="19" t="s">
        <v>2</v>
      </c>
      <c r="B4" s="19" t="s">
        <v>6</v>
      </c>
      <c r="C4" s="19" t="s">
        <v>10</v>
      </c>
      <c r="D4" s="19" t="s">
        <v>11</v>
      </c>
      <c r="E4" s="19" t="s">
        <v>7</v>
      </c>
      <c r="F4" s="19" t="s">
        <v>8</v>
      </c>
      <c r="G4" s="19" t="s">
        <v>9</v>
      </c>
      <c r="H4" s="19" t="s">
        <v>13</v>
      </c>
      <c r="I4" s="19" t="s">
        <v>14</v>
      </c>
      <c r="J4" s="19" t="s">
        <v>15</v>
      </c>
      <c r="K4" s="19" t="s">
        <v>17</v>
      </c>
      <c r="L4" s="19" t="s">
        <v>18</v>
      </c>
      <c r="M4" s="19" t="s">
        <v>20</v>
      </c>
      <c r="N4" s="21" t="s">
        <v>21</v>
      </c>
      <c r="O4" s="19" t="s">
        <v>22</v>
      </c>
      <c r="Q4"/>
    </row>
    <row r="5" spans="1:21" s="10" customFormat="1" ht="110.4">
      <c r="A5" s="23" t="s">
        <v>72</v>
      </c>
      <c r="B5" s="25" t="str">
        <f>_xlfn.LET(_xlpm.x,_xlfn.XLOOKUP(tblPrimaveraDetails[[#This Row],[Product / Service]],tblLicenses[Product / Service],tblLicenses[License Key / Contract Ref],""),IF(_xlpm.x=0,"",_xlpm.x))</f>
        <v/>
      </c>
      <c r="C5" s="29">
        <v>46203</v>
      </c>
      <c r="D5" s="29"/>
      <c r="E5" s="23">
        <f>_xlfn.XLOOKUP(tblPrimaveraDetails[[#This Row],[Product / Service]],tblLicenses[Product / Service],tblLicenses[Total Seats],0)</f>
        <v>1</v>
      </c>
      <c r="F5" s="23">
        <f>COUNTIF(tblPrimaveraUsers[Assignment Status],"Assigned")</f>
        <v>1</v>
      </c>
      <c r="G5" s="23">
        <f>MAX(0,tblPrimaveraDetails[[#This Row],[Total Seats]]-tblPrimaveraDetails[[#This Row],[Assigned Seats]])</f>
        <v>0</v>
      </c>
      <c r="H5" s="23" t="str">
        <f>_xlfn.LET(_xlpm.x,_xlfn.XLOOKUP(tblPrimaveraDetails[[#This Row],[Product / Service]],tblLicenses[Product / Service],tblLicenses[Renewal Type],""),IF(_xlpm.x=0,"",_xlpm.x))</f>
        <v>Manual</v>
      </c>
      <c r="I5" s="23" t="str">
        <f>_xlfn.LET(_xlpm.x,_xlfn.XLOOKUP(tblPrimaveraDetails[[#This Row],[Product / Service]],tblLicenses[Product / Service],tblLicenses[Billing Cycle],""),IF(_xlpm.x=0,"",_xlpm.x))</f>
        <v>Annual</v>
      </c>
      <c r="J5" s="24">
        <f>_xlfn.XLOOKUP(tblPrimaveraDetails[[#This Row],[Product / Service]],tblLicenses[Product / Service],tblLicenses[Unit Cost],0)</f>
        <v>176800</v>
      </c>
      <c r="K5" s="24">
        <f>_xlfn.XLOOKUP(tblPrimaveraDetails[[#This Row],[Product / Service]],tblLicenses[Product / Service],tblLicenses[Annual Cost],0)</f>
        <v>176800</v>
      </c>
      <c r="L5" s="23" t="str">
        <f>_xlfn.LET(_xlpm.x,_xlfn.XLOOKUP(tblPrimaveraDetails[[#This Row],[Product / Service]],tblLicenses[Product / Service],tblLicenses[Owner],""),IF(_xlpm.x=0,"",_xlpm.x))</f>
        <v>IT Admin</v>
      </c>
      <c r="M5" s="23" t="str">
        <f>_xlfn.XLOOKUP(tblPrimaveraDetails[[#This Row],[Product / Service]],tblLicenses[Product / Service],tblLicenses[Status],"")</f>
        <v>Active</v>
      </c>
      <c r="N5" s="25" t="str">
        <f>_xlfn.LET(_xlpm.x,_xlfn.XLOOKUP(tblPrimaveraDetails[[#This Row],[Product / Service]],tblLicenses[Product / Service],tblLicenses[Notes],""),IF(_xlpm.x=0,"",_xlpm.x))</f>
        <v xml:space="preserve"> Include Update Assurance 1 Year
 Local Support 1 Year
 Software upgrades and support services 1 Year
 Supported by a Thai team in addition to Oracle Support 1 Year
(Updates such as 1.1.1, 1.1.2, etc., are available for one year. Updates will not be possible without renewal.)</v>
      </c>
      <c r="O5" s="29">
        <f ca="1">_xlfn.XLOOKUP(tblPrimaveraDetails[[#This Row],[Product / Service]],tblLicenses[Product / Service],tblLicenses[Last Updated],"")</f>
        <v>46279</v>
      </c>
    </row>
    <row r="6" spans="1:21">
      <c r="A6" s="54" t="s">
        <v>284</v>
      </c>
      <c r="B6" s="55"/>
      <c r="C6" s="54"/>
      <c r="D6" s="54"/>
      <c r="E6" s="54"/>
      <c r="F6" s="54"/>
      <c r="G6" s="54"/>
      <c r="H6" s="54"/>
      <c r="I6" s="54"/>
      <c r="J6" s="56">
        <f>SUBTOTAL(109,tblPrimaveraDetails[Unit Cost])</f>
        <v>176800</v>
      </c>
      <c r="K6" s="56">
        <f>SUBTOTAL(109,tblPrimaveraDetails[Annual Cost])</f>
        <v>176800</v>
      </c>
      <c r="L6" s="54"/>
      <c r="M6" s="54"/>
      <c r="N6" s="55"/>
      <c r="O6" s="54">
        <f ca="1">SUBTOTAL(103,tblPrimaveraDetails[Last Updated])</f>
        <v>1</v>
      </c>
      <c r="P6" s="19"/>
      <c r="Q6" s="21"/>
      <c r="R6" s="19"/>
    </row>
    <row r="7" spans="1:21" s="32" customFormat="1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21"/>
      <c r="P7" s="30"/>
      <c r="Q7" s="31"/>
      <c r="R7" s="30"/>
    </row>
    <row r="8" spans="1:21">
      <c r="A8" s="64" t="s">
        <v>102</v>
      </c>
      <c r="B8" s="64"/>
      <c r="C8" s="64"/>
      <c r="D8" s="64"/>
      <c r="E8" s="64"/>
      <c r="F8" s="64"/>
      <c r="G8" s="64"/>
      <c r="H8" s="64"/>
      <c r="I8" s="30"/>
      <c r="J8" s="30"/>
      <c r="K8" s="30"/>
      <c r="L8" s="30"/>
      <c r="M8" s="30"/>
      <c r="N8" s="30"/>
      <c r="O8" s="31"/>
      <c r="P8" s="19"/>
      <c r="Q8" s="19"/>
      <c r="R8" s="21"/>
      <c r="S8" s="19"/>
      <c r="T8" s="21"/>
      <c r="U8" s="19"/>
    </row>
    <row r="9" spans="1:21">
      <c r="A9" s="19" t="s">
        <v>59</v>
      </c>
      <c r="B9" s="19" t="s">
        <v>60</v>
      </c>
      <c r="C9" s="19" t="s">
        <v>82</v>
      </c>
      <c r="D9" s="19" t="s">
        <v>61</v>
      </c>
      <c r="E9" s="19" t="s">
        <v>62</v>
      </c>
      <c r="F9" s="19" t="s">
        <v>63</v>
      </c>
      <c r="G9" s="19" t="s">
        <v>12</v>
      </c>
      <c r="H9" s="19" t="s">
        <v>282</v>
      </c>
      <c r="I9" s="19" t="s">
        <v>98</v>
      </c>
      <c r="J9" s="19" t="s">
        <v>21</v>
      </c>
      <c r="K9" s="19" t="s">
        <v>2</v>
      </c>
      <c r="L9" s="19"/>
      <c r="M9" s="19"/>
      <c r="N9" s="19"/>
      <c r="O9" s="19"/>
      <c r="P9" s="19"/>
      <c r="Q9" s="19"/>
      <c r="R9" s="21"/>
      <c r="S9" s="19"/>
      <c r="T9" s="21"/>
      <c r="U9" s="19"/>
    </row>
    <row r="10" spans="1:21">
      <c r="A10" s="19">
        <v>1</v>
      </c>
      <c r="B10" s="19" t="s">
        <v>87</v>
      </c>
      <c r="C10" s="19" t="s">
        <v>88</v>
      </c>
      <c r="D10" s="19" t="s">
        <v>89</v>
      </c>
      <c r="E10" s="28">
        <v>46220</v>
      </c>
      <c r="F10" s="19" t="str">
        <f>IF(tblPrimaveraUsers[[#This Row],[User Name]]="","Unassigned","Assigned")</f>
        <v>Assigned</v>
      </c>
      <c r="G10" s="28">
        <v>46584</v>
      </c>
      <c r="H10" s="48">
        <f ca="1">IF(tblPrimaveraUsers[[#This Row],[Expiry Date]]="","",tblPrimaveraUsers[[#This Row],[Expiry Date]]-TODAY())</f>
        <v>305</v>
      </c>
      <c r="I10" s="19" t="str">
        <f ca="1">IF(tblPrimaveraUsers[[#This Row],[Expiry Date]]="","No Expiry",IF(tblPrimaveraUsers[[#This Row],[Expiry Date]]&lt;TODAY(),"Expired",IF(tblPrimaveraUsers[[#This Row],[Expiry Date]]-TODAY()&lt;=30,"Renew Soon","Active")))</f>
        <v>Active</v>
      </c>
      <c r="J10" s="19"/>
      <c r="K10" s="19" t="s">
        <v>72</v>
      </c>
      <c r="L10" s="19"/>
      <c r="M10" s="19"/>
      <c r="N10" s="19"/>
      <c r="O10" s="19"/>
      <c r="P10" s="19"/>
      <c r="Q10" s="21"/>
      <c r="R10" s="19"/>
    </row>
    <row r="11" spans="1:21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21"/>
    </row>
  </sheetData>
  <mergeCells count="3">
    <mergeCell ref="A1:R1"/>
    <mergeCell ref="A3:R3"/>
    <mergeCell ref="A8:H8"/>
  </mergeCells>
  <conditionalFormatting sqref="H10">
    <cfRule type="expression" dxfId="41" priority="12">
      <formula>AND(ISNUMBER($H10),$H10&lt;30)</formula>
    </cfRule>
  </conditionalFormatting>
  <conditionalFormatting sqref="I10">
    <cfRule type="expression" dxfId="40" priority="8">
      <formula>$I10="Active"</formula>
    </cfRule>
    <cfRule type="expression" dxfId="39" priority="9">
      <formula>$I10="Renew Soon"</formula>
    </cfRule>
    <cfRule type="expression" dxfId="38" priority="10">
      <formula>$I10="Expired"</formula>
    </cfRule>
    <cfRule type="expression" dxfId="37" priority="11">
      <formula>$I10="No Expiry"</formula>
    </cfRule>
  </conditionalFormatting>
  <conditionalFormatting sqref="M5">
    <cfRule type="expression" dxfId="36" priority="1">
      <formula>$M5="Active"</formula>
    </cfRule>
    <cfRule type="expression" dxfId="35" priority="2">
      <formula>$M5="No Expiry"</formula>
    </cfRule>
    <cfRule type="expression" dxfId="34" priority="3">
      <formula>$M5="Renew Soon"</formula>
    </cfRule>
    <cfRule type="expression" dxfId="33" priority="4">
      <formula>$M5="Expired"</formula>
    </cfRule>
    <cfRule type="expression" dxfId="32" priority="5">
      <formula>$M5="Assigned"</formula>
    </cfRule>
    <cfRule type="expression" dxfId="31" priority="6">
      <formula>$M5="Assigned - Name pending"</formula>
    </cfRule>
    <cfRule type="expression" dxfId="30" priority="7">
      <formula>$M5="Unassigned"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70193-C25C-4CA0-895A-9B5833EFF59D}">
  <dimension ref="A1:D12"/>
  <sheetViews>
    <sheetView workbookViewId="0"/>
  </sheetViews>
  <sheetFormatPr defaultRowHeight="16.8"/>
  <cols>
    <col min="1" max="1" width="42" bestFit="1" customWidth="1"/>
    <col min="2" max="2" width="10.5" bestFit="1" customWidth="1"/>
    <col min="3" max="3" width="13" bestFit="1" customWidth="1"/>
    <col min="4" max="4" width="12.69921875" bestFit="1" customWidth="1"/>
  </cols>
  <sheetData>
    <row r="1" spans="1:4">
      <c r="A1" t="s">
        <v>2</v>
      </c>
      <c r="B1" t="s">
        <v>17</v>
      </c>
      <c r="C1" t="s">
        <v>8</v>
      </c>
      <c r="D1" t="s">
        <v>9</v>
      </c>
    </row>
    <row r="2" spans="1:4">
      <c r="A2" t="str">
        <f>INDEX(tblLicenses[Product / Service],1)</f>
        <v>Acrobat Pro for teams Subscription</v>
      </c>
      <c r="B2" s="40">
        <f>INDEX(tblLicenses[Annual Cost],1)</f>
        <v>18800</v>
      </c>
      <c r="C2" s="41">
        <f>INDEX(tblLicenses[Assigned Seats],1)</f>
        <v>2</v>
      </c>
      <c r="D2" s="41">
        <f>INDEX(tblLicenses[Available Seats],1)</f>
        <v>0</v>
      </c>
    </row>
    <row r="3" spans="1:4">
      <c r="A3" t="str">
        <f>INDEX(tblLicenses[Product / Service],2)</f>
        <v>Autodesk CAD LT</v>
      </c>
      <c r="B3" s="40">
        <f>INDEX(tblLicenses[Annual Cost],2)</f>
        <v>82000</v>
      </c>
      <c r="C3" s="41">
        <f>INDEX(tblLicenses[Assigned Seats],2)</f>
        <v>5</v>
      </c>
      <c r="D3" s="41">
        <f>INDEX(tblLicenses[Available Seats],2)</f>
        <v>0</v>
      </c>
    </row>
    <row r="4" spans="1:4">
      <c r="A4" t="str">
        <f>INDEX(tblLicenses[Product / Service],3)</f>
        <v>Microsoft 365 NCE - Exchange Online (Plan 2)</v>
      </c>
      <c r="B4" s="40">
        <f>INDEX(tblLicenses[Annual Cost],3)</f>
        <v>2920</v>
      </c>
      <c r="C4" s="41">
        <f>INDEX(tblLicenses[Assigned Seats],3)</f>
        <v>1</v>
      </c>
      <c r="D4" s="41">
        <f>INDEX(tblLicenses[Available Seats],3)</f>
        <v>0</v>
      </c>
    </row>
    <row r="5" spans="1:4">
      <c r="A5" t="str">
        <f>INDEX(tblLicenses[Product / Service],4)</f>
        <v>Microsoft 365 NCE - OneDrive for Business (Plan 2)</v>
      </c>
      <c r="B5" s="40">
        <f>INDEX(tblLicenses[Annual Cost],4)</f>
        <v>3650</v>
      </c>
      <c r="C5" s="41">
        <f>INDEX(tblLicenses[Assigned Seats],4)</f>
        <v>1</v>
      </c>
      <c r="D5" s="41">
        <f>INDEX(tblLicenses[Available Seats],4)</f>
        <v>0</v>
      </c>
    </row>
    <row r="6" spans="1:4">
      <c r="A6" t="str">
        <f>INDEX(tblLicenses[Product / Service],5)</f>
        <v>Microsoft 365 NEC - Business Standard</v>
      </c>
      <c r="B6" s="40">
        <f>INDEX(tblLicenses[Annual Cost],5)</f>
        <v>227760</v>
      </c>
      <c r="C6" s="41">
        <f>INDEX(tblLicenses[Assigned Seats],5)</f>
        <v>73</v>
      </c>
      <c r="D6" s="41">
        <f>INDEX(tblLicenses[Available Seats],5)</f>
        <v>0</v>
      </c>
    </row>
    <row r="7" spans="1:4">
      <c r="A7" t="str">
        <f>INDEX(tblLicenses[Product / Service],6)</f>
        <v>Microsoft 365 NEC - Copilot Business</v>
      </c>
      <c r="B7" s="40">
        <f>INDEX(tblLicenses[Annual Cost],6)</f>
        <v>253440</v>
      </c>
      <c r="C7" s="41">
        <f>INDEX(tblLicenses[Assigned Seats],6)</f>
        <v>23</v>
      </c>
      <c r="D7" s="41">
        <f>INDEX(tblLicenses[Available Seats],6)</f>
        <v>1</v>
      </c>
    </row>
    <row r="8" spans="1:4">
      <c r="A8" t="str">
        <f>INDEX(tblLicenses[Product / Service],7)</f>
        <v xml:space="preserve">Parallels Desktop for Mac Pro Edition </v>
      </c>
      <c r="B8" s="40">
        <f>INDEX(tblLicenses[Annual Cost],7)</f>
        <v>2200</v>
      </c>
      <c r="C8" s="41">
        <f>INDEX(tblLicenses[Assigned Seats],7)</f>
        <v>1</v>
      </c>
      <c r="D8" s="41">
        <f>INDEX(tblLicenses[Available Seats],7)</f>
        <v>0</v>
      </c>
    </row>
    <row r="9" spans="1:4">
      <c r="A9" t="str">
        <f>INDEX(tblLicenses[Product / Service],8)</f>
        <v>Power BI Pro</v>
      </c>
      <c r="B9" s="40">
        <f>INDEX(tblLicenses[Annual Cost],8)</f>
        <v>18948</v>
      </c>
      <c r="C9" s="41">
        <f>INDEX(tblLicenses[Assigned Seats],8)</f>
        <v>4</v>
      </c>
      <c r="D9" s="41">
        <f>INDEX(tblLicenses[Available Seats],8)</f>
        <v>0</v>
      </c>
    </row>
    <row r="10" spans="1:4">
      <c r="A10" t="str">
        <f>INDEX(tblLicenses[Product / Service],9)</f>
        <v>Primavera P6</v>
      </c>
      <c r="B10" s="40">
        <f>INDEX(tblLicenses[Annual Cost],9)</f>
        <v>176800</v>
      </c>
      <c r="C10" s="41">
        <f>INDEX(tblLicenses[Assigned Seats],9)</f>
        <v>1</v>
      </c>
      <c r="D10" s="41">
        <f>INDEX(tblLicenses[Available Seats],9)</f>
        <v>0</v>
      </c>
    </row>
    <row r="11" spans="1:4">
      <c r="A11" t="str">
        <f>INDEX(tblLicenses[Product / Service],10)</f>
        <v>Project Professional 2024</v>
      </c>
      <c r="B11" s="40">
        <f>INDEX(tblLicenses[Annual Cost],10)</f>
        <v>37000</v>
      </c>
      <c r="C11" s="41">
        <f>INDEX(tblLicenses[Assigned Seats],10)</f>
        <v>1</v>
      </c>
      <c r="D11" s="41">
        <f>INDEX(tblLicenses[Available Seats],10)</f>
        <v>0</v>
      </c>
    </row>
    <row r="12" spans="1:4">
      <c r="A12" t="str">
        <f>INDEX(tblLicenses[Product / Service],11)</f>
        <v>Trimble SketchUp</v>
      </c>
      <c r="B12" s="40">
        <f>INDEX(tblLicenses[Annual Cost],11)</f>
        <v>28000</v>
      </c>
      <c r="C12" s="41">
        <f>INDEX(tblLicenses[Assigned Seats],11)</f>
        <v>2</v>
      </c>
      <c r="D12" s="41">
        <f>INDEX(tblLicenses[Available Seats],11)</f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A2929-2952-4A07-95F2-BBD1D0018846}">
  <dimension ref="A1:AB116"/>
  <sheetViews>
    <sheetView tabSelected="1" topLeftCell="H1" zoomScale="78" zoomScaleNormal="78" workbookViewId="0">
      <pane ySplit="1" topLeftCell="A2" activePane="bottomLeft" state="frozen"/>
      <selection pane="bottomLeft" activeCell="F1" sqref="F1:F1048576"/>
    </sheetView>
  </sheetViews>
  <sheetFormatPr defaultRowHeight="16.8"/>
  <cols>
    <col min="1" max="1" width="39.59765625" bestFit="1" customWidth="1"/>
    <col min="2" max="2" width="38" bestFit="1" customWidth="1"/>
    <col min="3" max="3" width="26.8984375" bestFit="1" customWidth="1"/>
    <col min="4" max="4" width="10.19921875" bestFit="1" customWidth="1"/>
    <col min="5" max="5" width="13.296875" bestFit="1" customWidth="1"/>
    <col min="6" max="6" width="34" style="2" customWidth="1"/>
    <col min="7" max="7" width="9.796875" bestFit="1" customWidth="1"/>
    <col min="8" max="8" width="21.5" bestFit="1" customWidth="1"/>
    <col min="9" max="9" width="32.09765625" bestFit="1" customWidth="1"/>
    <col min="10" max="10" width="17.8984375" bestFit="1" customWidth="1"/>
    <col min="11" max="11" width="14.5" bestFit="1" customWidth="1"/>
    <col min="12" max="12" width="11.8984375" bestFit="1" customWidth="1"/>
    <col min="13" max="13" width="15.59765625" bestFit="1" customWidth="1"/>
    <col min="14" max="14" width="13.3984375" bestFit="1" customWidth="1"/>
    <col min="15" max="15" width="23.59765625" bestFit="1" customWidth="1"/>
    <col min="16" max="16" width="12" bestFit="1" customWidth="1"/>
    <col min="17" max="17" width="15.19921875" bestFit="1" customWidth="1"/>
    <col min="18" max="18" width="15.09765625" bestFit="1" customWidth="1"/>
    <col min="19" max="19" width="13.8984375" bestFit="1" customWidth="1"/>
    <col min="20" max="20" width="12.796875" bestFit="1" customWidth="1"/>
    <col min="21" max="21" width="10.59765625" bestFit="1" customWidth="1"/>
    <col min="22" max="22" width="12.8984375" bestFit="1" customWidth="1"/>
    <col min="23" max="23" width="8.59765625" bestFit="1" customWidth="1"/>
    <col min="24" max="24" width="14.796875" bestFit="1" customWidth="1"/>
    <col min="25" max="25" width="39" style="2" bestFit="1" customWidth="1"/>
    <col min="26" max="26" width="17.69921875" style="2" bestFit="1" customWidth="1"/>
    <col min="27" max="27" width="13.796875" bestFit="1" customWidth="1"/>
    <col min="28" max="28" width="14.09765625" bestFit="1" customWidth="1"/>
  </cols>
  <sheetData>
    <row r="1" spans="1:28" ht="30" customHeight="1">
      <c r="A1" s="65" t="s">
        <v>285</v>
      </c>
      <c r="B1" s="65" t="s">
        <v>2</v>
      </c>
      <c r="C1" s="65" t="s">
        <v>3</v>
      </c>
      <c r="D1" s="65" t="s">
        <v>4</v>
      </c>
      <c r="E1" s="65" t="s">
        <v>5</v>
      </c>
      <c r="F1" s="69" t="s">
        <v>6</v>
      </c>
      <c r="G1" s="65" t="s">
        <v>59</v>
      </c>
      <c r="H1" s="65" t="s">
        <v>60</v>
      </c>
      <c r="I1" s="65" t="s">
        <v>82</v>
      </c>
      <c r="J1" s="65" t="s">
        <v>61</v>
      </c>
      <c r="K1" s="65" t="s">
        <v>62</v>
      </c>
      <c r="L1" s="65" t="s">
        <v>12</v>
      </c>
      <c r="M1" s="65" t="s">
        <v>282</v>
      </c>
      <c r="N1" s="65" t="s">
        <v>98</v>
      </c>
      <c r="O1" s="65" t="s">
        <v>63</v>
      </c>
      <c r="P1" s="65" t="s">
        <v>7</v>
      </c>
      <c r="Q1" s="65" t="s">
        <v>8</v>
      </c>
      <c r="R1" s="65" t="s">
        <v>9</v>
      </c>
      <c r="S1" s="65" t="s">
        <v>13</v>
      </c>
      <c r="T1" s="65" t="s">
        <v>14</v>
      </c>
      <c r="U1" s="65" t="s">
        <v>15</v>
      </c>
      <c r="V1" s="65" t="s">
        <v>17</v>
      </c>
      <c r="W1" s="65" t="s">
        <v>18</v>
      </c>
      <c r="X1" s="65" t="s">
        <v>286</v>
      </c>
      <c r="Y1" s="69" t="s">
        <v>287</v>
      </c>
      <c r="Z1" s="69" t="s">
        <v>288</v>
      </c>
      <c r="AA1" s="65" t="s">
        <v>22</v>
      </c>
      <c r="AB1" s="65" t="s">
        <v>289</v>
      </c>
    </row>
    <row r="2" spans="1:28">
      <c r="A2" s="65" t="s">
        <v>290</v>
      </c>
      <c r="B2" s="65" t="s">
        <v>58</v>
      </c>
      <c r="C2" s="65" t="s">
        <v>279</v>
      </c>
      <c r="D2" s="65" t="s">
        <v>23</v>
      </c>
      <c r="E2" s="65" t="s">
        <v>24</v>
      </c>
      <c r="F2" s="69"/>
      <c r="G2" s="66">
        <v>1</v>
      </c>
      <c r="H2" s="65" t="s">
        <v>65</v>
      </c>
      <c r="I2" s="65" t="s">
        <v>64</v>
      </c>
      <c r="J2" s="65" t="s">
        <v>108</v>
      </c>
      <c r="K2" s="67"/>
      <c r="L2" s="67">
        <v>46354</v>
      </c>
      <c r="M2" s="66">
        <v>75</v>
      </c>
      <c r="N2" s="65" t="s">
        <v>57</v>
      </c>
      <c r="O2" s="65" t="s">
        <v>291</v>
      </c>
      <c r="P2" s="66">
        <v>2</v>
      </c>
      <c r="Q2" s="66">
        <v>2</v>
      </c>
      <c r="R2" s="66">
        <v>0</v>
      </c>
      <c r="S2" s="65" t="s">
        <v>34</v>
      </c>
      <c r="T2" s="65" t="s">
        <v>26</v>
      </c>
      <c r="U2" s="68">
        <v>9400</v>
      </c>
      <c r="V2" s="68">
        <v>18800</v>
      </c>
      <c r="W2" s="65" t="s">
        <v>28</v>
      </c>
      <c r="X2" s="65" t="s">
        <v>57</v>
      </c>
      <c r="Y2" s="69"/>
      <c r="Z2" s="69"/>
      <c r="AA2" s="67">
        <v>46279</v>
      </c>
      <c r="AB2" s="65" t="s">
        <v>71</v>
      </c>
    </row>
    <row r="3" spans="1:28">
      <c r="A3" s="65" t="s">
        <v>292</v>
      </c>
      <c r="B3" s="65" t="s">
        <v>58</v>
      </c>
      <c r="C3" s="65" t="s">
        <v>279</v>
      </c>
      <c r="D3" s="65" t="s">
        <v>23</v>
      </c>
      <c r="E3" s="65" t="s">
        <v>24</v>
      </c>
      <c r="F3" s="69"/>
      <c r="G3" s="66">
        <v>2</v>
      </c>
      <c r="H3" s="65" t="s">
        <v>66</v>
      </c>
      <c r="I3" s="65" t="s">
        <v>67</v>
      </c>
      <c r="J3" s="65" t="s">
        <v>107</v>
      </c>
      <c r="K3" s="67"/>
      <c r="L3" s="67">
        <v>46354</v>
      </c>
      <c r="M3" s="66">
        <v>75</v>
      </c>
      <c r="N3" s="65" t="s">
        <v>57</v>
      </c>
      <c r="O3" s="65" t="s">
        <v>291</v>
      </c>
      <c r="P3" s="66">
        <v>2</v>
      </c>
      <c r="Q3" s="66">
        <v>2</v>
      </c>
      <c r="R3" s="66">
        <v>0</v>
      </c>
      <c r="S3" s="65" t="s">
        <v>34</v>
      </c>
      <c r="T3" s="65" t="s">
        <v>26</v>
      </c>
      <c r="U3" s="68">
        <v>9400</v>
      </c>
      <c r="V3" s="68">
        <v>18800</v>
      </c>
      <c r="W3" s="65" t="s">
        <v>28</v>
      </c>
      <c r="X3" s="65" t="s">
        <v>57</v>
      </c>
      <c r="Y3" s="69"/>
      <c r="Z3" s="69"/>
      <c r="AA3" s="67">
        <v>46279</v>
      </c>
      <c r="AB3" s="65" t="s">
        <v>71</v>
      </c>
    </row>
    <row r="4" spans="1:28" ht="84">
      <c r="A4" s="65" t="s">
        <v>293</v>
      </c>
      <c r="B4" s="65" t="s">
        <v>76</v>
      </c>
      <c r="C4" s="65" t="s">
        <v>280</v>
      </c>
      <c r="D4" s="65" t="s">
        <v>51</v>
      </c>
      <c r="E4" s="65" t="s">
        <v>24</v>
      </c>
      <c r="F4" s="69" t="s">
        <v>121</v>
      </c>
      <c r="G4" s="66">
        <v>1</v>
      </c>
      <c r="H4" s="65" t="s">
        <v>94</v>
      </c>
      <c r="I4" s="65" t="s">
        <v>96</v>
      </c>
      <c r="J4" s="65" t="s">
        <v>109</v>
      </c>
      <c r="K4" s="67"/>
      <c r="L4" s="67">
        <v>46504</v>
      </c>
      <c r="M4" s="66">
        <v>225</v>
      </c>
      <c r="N4" s="65" t="s">
        <v>57</v>
      </c>
      <c r="O4" s="65" t="s">
        <v>291</v>
      </c>
      <c r="P4" s="66">
        <v>5</v>
      </c>
      <c r="Q4" s="66">
        <v>5</v>
      </c>
      <c r="R4" s="66">
        <v>0</v>
      </c>
      <c r="S4" s="65" t="s">
        <v>34</v>
      </c>
      <c r="T4" s="65" t="s">
        <v>26</v>
      </c>
      <c r="U4" s="68">
        <v>16400</v>
      </c>
      <c r="V4" s="68">
        <v>82000</v>
      </c>
      <c r="W4" s="65" t="s">
        <v>28</v>
      </c>
      <c r="X4" s="65" t="s">
        <v>57</v>
      </c>
      <c r="Y4" s="69"/>
      <c r="Z4" s="69"/>
      <c r="AA4" s="67">
        <v>46279</v>
      </c>
      <c r="AB4" s="65" t="s">
        <v>76</v>
      </c>
    </row>
    <row r="5" spans="1:28" ht="84">
      <c r="A5" s="65" t="s">
        <v>294</v>
      </c>
      <c r="B5" s="65" t="s">
        <v>76</v>
      </c>
      <c r="C5" s="65" t="s">
        <v>280</v>
      </c>
      <c r="D5" s="65" t="s">
        <v>51</v>
      </c>
      <c r="E5" s="65" t="s">
        <v>24</v>
      </c>
      <c r="F5" s="69" t="s">
        <v>121</v>
      </c>
      <c r="G5" s="66">
        <v>2</v>
      </c>
      <c r="H5" s="65" t="s">
        <v>110</v>
      </c>
      <c r="I5" s="65" t="s">
        <v>114</v>
      </c>
      <c r="J5" s="65" t="s">
        <v>117</v>
      </c>
      <c r="K5" s="67"/>
      <c r="L5" s="67">
        <v>46444</v>
      </c>
      <c r="M5" s="66">
        <v>165</v>
      </c>
      <c r="N5" s="65" t="s">
        <v>57</v>
      </c>
      <c r="O5" s="65" t="s">
        <v>291</v>
      </c>
      <c r="P5" s="66">
        <v>5</v>
      </c>
      <c r="Q5" s="66">
        <v>5</v>
      </c>
      <c r="R5" s="66">
        <v>0</v>
      </c>
      <c r="S5" s="65" t="s">
        <v>34</v>
      </c>
      <c r="T5" s="65" t="s">
        <v>26</v>
      </c>
      <c r="U5" s="68">
        <v>16400</v>
      </c>
      <c r="V5" s="68">
        <v>82000</v>
      </c>
      <c r="W5" s="65" t="s">
        <v>28</v>
      </c>
      <c r="X5" s="65" t="s">
        <v>57</v>
      </c>
      <c r="Y5" s="69"/>
      <c r="Z5" s="69"/>
      <c r="AA5" s="67">
        <v>46279</v>
      </c>
      <c r="AB5" s="65" t="s">
        <v>76</v>
      </c>
    </row>
    <row r="6" spans="1:28" ht="84">
      <c r="A6" s="65" t="s">
        <v>295</v>
      </c>
      <c r="B6" s="65" t="s">
        <v>76</v>
      </c>
      <c r="C6" s="65" t="s">
        <v>280</v>
      </c>
      <c r="D6" s="65" t="s">
        <v>51</v>
      </c>
      <c r="E6" s="65" t="s">
        <v>24</v>
      </c>
      <c r="F6" s="69" t="s">
        <v>121</v>
      </c>
      <c r="G6" s="66">
        <v>3</v>
      </c>
      <c r="H6" s="65" t="s">
        <v>111</v>
      </c>
      <c r="I6" s="65" t="s">
        <v>115</v>
      </c>
      <c r="J6" s="65" t="s">
        <v>118</v>
      </c>
      <c r="K6" s="67"/>
      <c r="L6" s="67">
        <v>46504</v>
      </c>
      <c r="M6" s="66">
        <v>225</v>
      </c>
      <c r="N6" s="65" t="s">
        <v>57</v>
      </c>
      <c r="O6" s="65" t="s">
        <v>291</v>
      </c>
      <c r="P6" s="66">
        <v>5</v>
      </c>
      <c r="Q6" s="66">
        <v>5</v>
      </c>
      <c r="R6" s="66">
        <v>0</v>
      </c>
      <c r="S6" s="65" t="s">
        <v>34</v>
      </c>
      <c r="T6" s="65" t="s">
        <v>26</v>
      </c>
      <c r="U6" s="68">
        <v>16400</v>
      </c>
      <c r="V6" s="68">
        <v>82000</v>
      </c>
      <c r="W6" s="65" t="s">
        <v>28</v>
      </c>
      <c r="X6" s="65" t="s">
        <v>57</v>
      </c>
      <c r="Y6" s="69"/>
      <c r="Z6" s="69"/>
      <c r="AA6" s="67">
        <v>46279</v>
      </c>
      <c r="AB6" s="65" t="s">
        <v>76</v>
      </c>
    </row>
    <row r="7" spans="1:28" ht="84">
      <c r="A7" s="65" t="s">
        <v>296</v>
      </c>
      <c r="B7" s="65" t="s">
        <v>76</v>
      </c>
      <c r="C7" s="65" t="s">
        <v>280</v>
      </c>
      <c r="D7" s="65" t="s">
        <v>51</v>
      </c>
      <c r="E7" s="65" t="s">
        <v>24</v>
      </c>
      <c r="F7" s="69" t="s">
        <v>121</v>
      </c>
      <c r="G7" s="66">
        <v>4</v>
      </c>
      <c r="H7" s="65" t="s">
        <v>112</v>
      </c>
      <c r="I7" s="65" t="s">
        <v>116</v>
      </c>
      <c r="J7" s="65" t="s">
        <v>119</v>
      </c>
      <c r="K7" s="67"/>
      <c r="L7" s="67">
        <v>46631</v>
      </c>
      <c r="M7" s="66">
        <v>352</v>
      </c>
      <c r="N7" s="65" t="s">
        <v>57</v>
      </c>
      <c r="O7" s="65" t="s">
        <v>291</v>
      </c>
      <c r="P7" s="66">
        <v>5</v>
      </c>
      <c r="Q7" s="66">
        <v>5</v>
      </c>
      <c r="R7" s="66">
        <v>0</v>
      </c>
      <c r="S7" s="65" t="s">
        <v>34</v>
      </c>
      <c r="T7" s="65" t="s">
        <v>26</v>
      </c>
      <c r="U7" s="68">
        <v>16400</v>
      </c>
      <c r="V7" s="68">
        <v>82000</v>
      </c>
      <c r="W7" s="65" t="s">
        <v>28</v>
      </c>
      <c r="X7" s="65" t="s">
        <v>57</v>
      </c>
      <c r="Y7" s="69"/>
      <c r="Z7" s="69"/>
      <c r="AA7" s="67">
        <v>46279</v>
      </c>
      <c r="AB7" s="65" t="s">
        <v>76</v>
      </c>
    </row>
    <row r="8" spans="1:28" ht="84">
      <c r="A8" s="65" t="s">
        <v>297</v>
      </c>
      <c r="B8" s="65" t="s">
        <v>76</v>
      </c>
      <c r="C8" s="65" t="s">
        <v>280</v>
      </c>
      <c r="D8" s="65" t="s">
        <v>51</v>
      </c>
      <c r="E8" s="65" t="s">
        <v>24</v>
      </c>
      <c r="F8" s="69" t="s">
        <v>121</v>
      </c>
      <c r="G8" s="66">
        <v>5</v>
      </c>
      <c r="H8" s="65" t="s">
        <v>113</v>
      </c>
      <c r="I8" s="65" t="s">
        <v>97</v>
      </c>
      <c r="J8" s="65" t="s">
        <v>120</v>
      </c>
      <c r="K8" s="67"/>
      <c r="L8" s="67">
        <v>46444</v>
      </c>
      <c r="M8" s="66">
        <v>165</v>
      </c>
      <c r="N8" s="65" t="s">
        <v>57</v>
      </c>
      <c r="O8" s="65" t="s">
        <v>291</v>
      </c>
      <c r="P8" s="66">
        <v>5</v>
      </c>
      <c r="Q8" s="66">
        <v>5</v>
      </c>
      <c r="R8" s="66">
        <v>0</v>
      </c>
      <c r="S8" s="65" t="s">
        <v>34</v>
      </c>
      <c r="T8" s="65" t="s">
        <v>26</v>
      </c>
      <c r="U8" s="68">
        <v>16400</v>
      </c>
      <c r="V8" s="68">
        <v>82000</v>
      </c>
      <c r="W8" s="65" t="s">
        <v>28</v>
      </c>
      <c r="X8" s="65" t="s">
        <v>57</v>
      </c>
      <c r="Y8" s="69"/>
      <c r="Z8" s="69"/>
      <c r="AA8" s="67">
        <v>46279</v>
      </c>
      <c r="AB8" s="65" t="s">
        <v>76</v>
      </c>
    </row>
    <row r="9" spans="1:28">
      <c r="A9" s="65" t="s">
        <v>298</v>
      </c>
      <c r="B9" s="65" t="s">
        <v>80</v>
      </c>
      <c r="C9" s="65" t="s">
        <v>278</v>
      </c>
      <c r="D9" s="65" t="s">
        <v>23</v>
      </c>
      <c r="E9" s="65" t="s">
        <v>24</v>
      </c>
      <c r="F9" s="69"/>
      <c r="G9" s="66">
        <v>1</v>
      </c>
      <c r="H9" s="65" t="s">
        <v>127</v>
      </c>
      <c r="I9" s="65" t="s">
        <v>151</v>
      </c>
      <c r="J9" s="65"/>
      <c r="K9" s="67">
        <v>45722</v>
      </c>
      <c r="L9" s="67">
        <v>46567</v>
      </c>
      <c r="M9" s="66">
        <v>288</v>
      </c>
      <c r="N9" s="65" t="s">
        <v>57</v>
      </c>
      <c r="O9" s="65" t="s">
        <v>291</v>
      </c>
      <c r="P9" s="66">
        <v>1</v>
      </c>
      <c r="Q9" s="66">
        <v>1</v>
      </c>
      <c r="R9" s="66">
        <v>0</v>
      </c>
      <c r="S9" s="65" t="s">
        <v>34</v>
      </c>
      <c r="T9" s="65" t="s">
        <v>26</v>
      </c>
      <c r="U9" s="68">
        <v>2920</v>
      </c>
      <c r="V9" s="68">
        <v>2920</v>
      </c>
      <c r="W9" s="65" t="s">
        <v>28</v>
      </c>
      <c r="X9" s="65" t="s">
        <v>57</v>
      </c>
      <c r="Y9" s="69"/>
      <c r="Z9" s="69"/>
      <c r="AA9" s="67">
        <v>46279</v>
      </c>
      <c r="AB9" s="65" t="s">
        <v>70</v>
      </c>
    </row>
    <row r="10" spans="1:28">
      <c r="A10" s="65" t="s">
        <v>299</v>
      </c>
      <c r="B10" s="65" t="s">
        <v>79</v>
      </c>
      <c r="C10" s="65" t="s">
        <v>278</v>
      </c>
      <c r="D10" s="65" t="s">
        <v>23</v>
      </c>
      <c r="E10" s="65" t="s">
        <v>24</v>
      </c>
      <c r="F10" s="69"/>
      <c r="G10" s="66">
        <v>1</v>
      </c>
      <c r="H10" s="65" t="s">
        <v>174</v>
      </c>
      <c r="I10" s="65" t="s">
        <v>173</v>
      </c>
      <c r="J10" s="65"/>
      <c r="K10" s="67">
        <v>44767</v>
      </c>
      <c r="L10" s="67">
        <v>46592</v>
      </c>
      <c r="M10" s="66">
        <v>313</v>
      </c>
      <c r="N10" s="65" t="s">
        <v>57</v>
      </c>
      <c r="O10" s="65" t="s">
        <v>291</v>
      </c>
      <c r="P10" s="66">
        <v>1</v>
      </c>
      <c r="Q10" s="66">
        <v>1</v>
      </c>
      <c r="R10" s="66">
        <v>0</v>
      </c>
      <c r="S10" s="65" t="s">
        <v>34</v>
      </c>
      <c r="T10" s="65" t="s">
        <v>26</v>
      </c>
      <c r="U10" s="68">
        <v>3650</v>
      </c>
      <c r="V10" s="68">
        <v>3650</v>
      </c>
      <c r="W10" s="65" t="s">
        <v>28</v>
      </c>
      <c r="X10" s="65" t="s">
        <v>57</v>
      </c>
      <c r="Y10" s="69"/>
      <c r="Z10" s="69"/>
      <c r="AA10" s="67">
        <v>46279</v>
      </c>
      <c r="AB10" s="65" t="s">
        <v>70</v>
      </c>
    </row>
    <row r="11" spans="1:28">
      <c r="A11" s="65" t="s">
        <v>300</v>
      </c>
      <c r="B11" s="65" t="s">
        <v>77</v>
      </c>
      <c r="C11" s="65" t="s">
        <v>278</v>
      </c>
      <c r="D11" s="65" t="s">
        <v>23</v>
      </c>
      <c r="E11" s="65" t="s">
        <v>24</v>
      </c>
      <c r="F11" s="69"/>
      <c r="G11" s="66">
        <v>1</v>
      </c>
      <c r="H11" s="65" t="s">
        <v>174</v>
      </c>
      <c r="I11" s="65" t="s">
        <v>173</v>
      </c>
      <c r="J11" s="65"/>
      <c r="K11" s="67">
        <v>44767</v>
      </c>
      <c r="L11" s="67">
        <v>46567</v>
      </c>
      <c r="M11" s="66">
        <v>288</v>
      </c>
      <c r="N11" s="65" t="s">
        <v>57</v>
      </c>
      <c r="O11" s="65" t="s">
        <v>291</v>
      </c>
      <c r="P11" s="66">
        <v>73</v>
      </c>
      <c r="Q11" s="66">
        <v>73</v>
      </c>
      <c r="R11" s="66">
        <v>0</v>
      </c>
      <c r="S11" s="65" t="s">
        <v>34</v>
      </c>
      <c r="T11" s="65" t="s">
        <v>26</v>
      </c>
      <c r="U11" s="68">
        <v>3120</v>
      </c>
      <c r="V11" s="68">
        <v>227760</v>
      </c>
      <c r="W11" s="65" t="s">
        <v>28</v>
      </c>
      <c r="X11" s="65" t="s">
        <v>57</v>
      </c>
      <c r="Y11" s="69"/>
      <c r="Z11" s="69"/>
      <c r="AA11" s="67">
        <v>46279</v>
      </c>
      <c r="AB11" s="65" t="s">
        <v>70</v>
      </c>
    </row>
    <row r="12" spans="1:28">
      <c r="A12" s="65" t="s">
        <v>301</v>
      </c>
      <c r="B12" s="65" t="s">
        <v>77</v>
      </c>
      <c r="C12" s="65" t="s">
        <v>278</v>
      </c>
      <c r="D12" s="65" t="s">
        <v>23</v>
      </c>
      <c r="E12" s="65" t="s">
        <v>24</v>
      </c>
      <c r="F12" s="69"/>
      <c r="G12" s="66">
        <v>2</v>
      </c>
      <c r="H12" s="65" t="s">
        <v>123</v>
      </c>
      <c r="I12" s="65" t="s">
        <v>147</v>
      </c>
      <c r="J12" s="65"/>
      <c r="K12" s="67">
        <v>45722</v>
      </c>
      <c r="L12" s="67">
        <v>46567</v>
      </c>
      <c r="M12" s="66">
        <v>288</v>
      </c>
      <c r="N12" s="65" t="s">
        <v>57</v>
      </c>
      <c r="O12" s="65" t="s">
        <v>291</v>
      </c>
      <c r="P12" s="66">
        <v>73</v>
      </c>
      <c r="Q12" s="66">
        <v>73</v>
      </c>
      <c r="R12" s="66">
        <v>0</v>
      </c>
      <c r="S12" s="65" t="s">
        <v>34</v>
      </c>
      <c r="T12" s="65" t="s">
        <v>26</v>
      </c>
      <c r="U12" s="68">
        <v>3120</v>
      </c>
      <c r="V12" s="68">
        <v>227760</v>
      </c>
      <c r="W12" s="65" t="s">
        <v>28</v>
      </c>
      <c r="X12" s="65" t="s">
        <v>57</v>
      </c>
      <c r="Y12" s="69"/>
      <c r="Z12" s="69"/>
      <c r="AA12" s="67">
        <v>46279</v>
      </c>
      <c r="AB12" s="65" t="s">
        <v>70</v>
      </c>
    </row>
    <row r="13" spans="1:28">
      <c r="A13" s="65" t="s">
        <v>302</v>
      </c>
      <c r="B13" s="65" t="s">
        <v>77</v>
      </c>
      <c r="C13" s="65" t="s">
        <v>278</v>
      </c>
      <c r="D13" s="65" t="s">
        <v>23</v>
      </c>
      <c r="E13" s="65" t="s">
        <v>24</v>
      </c>
      <c r="F13" s="69"/>
      <c r="G13" s="66">
        <v>3</v>
      </c>
      <c r="H13" s="65" t="s">
        <v>176</v>
      </c>
      <c r="I13" s="65" t="s">
        <v>114</v>
      </c>
      <c r="J13" s="65"/>
      <c r="K13" s="67">
        <v>45722</v>
      </c>
      <c r="L13" s="67">
        <v>46567</v>
      </c>
      <c r="M13" s="66">
        <v>288</v>
      </c>
      <c r="N13" s="65" t="s">
        <v>57</v>
      </c>
      <c r="O13" s="65" t="s">
        <v>291</v>
      </c>
      <c r="P13" s="66">
        <v>73</v>
      </c>
      <c r="Q13" s="66">
        <v>73</v>
      </c>
      <c r="R13" s="66">
        <v>0</v>
      </c>
      <c r="S13" s="65" t="s">
        <v>34</v>
      </c>
      <c r="T13" s="65" t="s">
        <v>26</v>
      </c>
      <c r="U13" s="68">
        <v>3120</v>
      </c>
      <c r="V13" s="68">
        <v>227760</v>
      </c>
      <c r="W13" s="65" t="s">
        <v>28</v>
      </c>
      <c r="X13" s="65" t="s">
        <v>57</v>
      </c>
      <c r="Y13" s="69"/>
      <c r="Z13" s="69"/>
      <c r="AA13" s="67">
        <v>46279</v>
      </c>
      <c r="AB13" s="65" t="s">
        <v>70</v>
      </c>
    </row>
    <row r="14" spans="1:28">
      <c r="A14" s="65" t="s">
        <v>303</v>
      </c>
      <c r="B14" s="65" t="s">
        <v>77</v>
      </c>
      <c r="C14" s="65" t="s">
        <v>278</v>
      </c>
      <c r="D14" s="65" t="s">
        <v>23</v>
      </c>
      <c r="E14" s="65" t="s">
        <v>24</v>
      </c>
      <c r="F14" s="69"/>
      <c r="G14" s="66">
        <v>4</v>
      </c>
      <c r="H14" s="65" t="s">
        <v>124</v>
      </c>
      <c r="I14" s="65" t="s">
        <v>148</v>
      </c>
      <c r="J14" s="65"/>
      <c r="K14" s="67">
        <v>45722</v>
      </c>
      <c r="L14" s="67">
        <v>46567</v>
      </c>
      <c r="M14" s="66">
        <v>288</v>
      </c>
      <c r="N14" s="65" t="s">
        <v>57</v>
      </c>
      <c r="O14" s="65" t="s">
        <v>291</v>
      </c>
      <c r="P14" s="66">
        <v>73</v>
      </c>
      <c r="Q14" s="66">
        <v>73</v>
      </c>
      <c r="R14" s="66">
        <v>0</v>
      </c>
      <c r="S14" s="65" t="s">
        <v>34</v>
      </c>
      <c r="T14" s="65" t="s">
        <v>26</v>
      </c>
      <c r="U14" s="68">
        <v>3120</v>
      </c>
      <c r="V14" s="68">
        <v>227760</v>
      </c>
      <c r="W14" s="65" t="s">
        <v>28</v>
      </c>
      <c r="X14" s="65" t="s">
        <v>57</v>
      </c>
      <c r="Y14" s="69"/>
      <c r="Z14" s="69"/>
      <c r="AA14" s="67">
        <v>46279</v>
      </c>
      <c r="AB14" s="65" t="s">
        <v>70</v>
      </c>
    </row>
    <row r="15" spans="1:28">
      <c r="A15" s="65" t="s">
        <v>304</v>
      </c>
      <c r="B15" s="65" t="s">
        <v>77</v>
      </c>
      <c r="C15" s="65" t="s">
        <v>278</v>
      </c>
      <c r="D15" s="65" t="s">
        <v>23</v>
      </c>
      <c r="E15" s="65" t="s">
        <v>24</v>
      </c>
      <c r="F15" s="69"/>
      <c r="G15" s="66">
        <v>5</v>
      </c>
      <c r="H15" s="65" t="s">
        <v>125</v>
      </c>
      <c r="I15" s="65" t="s">
        <v>149</v>
      </c>
      <c r="J15" s="65"/>
      <c r="K15" s="67">
        <v>45722</v>
      </c>
      <c r="L15" s="67">
        <v>46567</v>
      </c>
      <c r="M15" s="66">
        <v>288</v>
      </c>
      <c r="N15" s="65" t="s">
        <v>57</v>
      </c>
      <c r="O15" s="65" t="s">
        <v>291</v>
      </c>
      <c r="P15" s="66">
        <v>73</v>
      </c>
      <c r="Q15" s="66">
        <v>73</v>
      </c>
      <c r="R15" s="66">
        <v>0</v>
      </c>
      <c r="S15" s="65" t="s">
        <v>34</v>
      </c>
      <c r="T15" s="65" t="s">
        <v>26</v>
      </c>
      <c r="U15" s="68">
        <v>3120</v>
      </c>
      <c r="V15" s="68">
        <v>227760</v>
      </c>
      <c r="W15" s="65" t="s">
        <v>28</v>
      </c>
      <c r="X15" s="65" t="s">
        <v>57</v>
      </c>
      <c r="Y15" s="69"/>
      <c r="Z15" s="69"/>
      <c r="AA15" s="67">
        <v>46279</v>
      </c>
      <c r="AB15" s="65" t="s">
        <v>70</v>
      </c>
    </row>
    <row r="16" spans="1:28">
      <c r="A16" s="65" t="s">
        <v>305</v>
      </c>
      <c r="B16" s="65" t="s">
        <v>77</v>
      </c>
      <c r="C16" s="65" t="s">
        <v>278</v>
      </c>
      <c r="D16" s="65" t="s">
        <v>23</v>
      </c>
      <c r="E16" s="65" t="s">
        <v>24</v>
      </c>
      <c r="F16" s="69"/>
      <c r="G16" s="66">
        <v>6</v>
      </c>
      <c r="H16" s="65" t="s">
        <v>177</v>
      </c>
      <c r="I16" s="65" t="s">
        <v>221</v>
      </c>
      <c r="J16" s="65"/>
      <c r="K16" s="67">
        <v>45722</v>
      </c>
      <c r="L16" s="67">
        <v>46567</v>
      </c>
      <c r="M16" s="66">
        <v>288</v>
      </c>
      <c r="N16" s="65" t="s">
        <v>57</v>
      </c>
      <c r="O16" s="65" t="s">
        <v>291</v>
      </c>
      <c r="P16" s="66">
        <v>73</v>
      </c>
      <c r="Q16" s="66">
        <v>73</v>
      </c>
      <c r="R16" s="66">
        <v>0</v>
      </c>
      <c r="S16" s="65" t="s">
        <v>34</v>
      </c>
      <c r="T16" s="65" t="s">
        <v>26</v>
      </c>
      <c r="U16" s="68">
        <v>3120</v>
      </c>
      <c r="V16" s="68">
        <v>227760</v>
      </c>
      <c r="W16" s="65" t="s">
        <v>28</v>
      </c>
      <c r="X16" s="65" t="s">
        <v>57</v>
      </c>
      <c r="Y16" s="69"/>
      <c r="Z16" s="69"/>
      <c r="AA16" s="67">
        <v>46279</v>
      </c>
      <c r="AB16" s="65" t="s">
        <v>70</v>
      </c>
    </row>
    <row r="17" spans="1:28">
      <c r="A17" s="65" t="s">
        <v>306</v>
      </c>
      <c r="B17" s="65" t="s">
        <v>77</v>
      </c>
      <c r="C17" s="65" t="s">
        <v>278</v>
      </c>
      <c r="D17" s="65" t="s">
        <v>23</v>
      </c>
      <c r="E17" s="65" t="s">
        <v>24</v>
      </c>
      <c r="F17" s="69"/>
      <c r="G17" s="66">
        <v>7</v>
      </c>
      <c r="H17" s="65" t="s">
        <v>178</v>
      </c>
      <c r="I17" s="65" t="s">
        <v>96</v>
      </c>
      <c r="J17" s="65"/>
      <c r="K17" s="67">
        <v>46099</v>
      </c>
      <c r="L17" s="67">
        <v>46567</v>
      </c>
      <c r="M17" s="66">
        <v>288</v>
      </c>
      <c r="N17" s="65" t="s">
        <v>57</v>
      </c>
      <c r="O17" s="65" t="s">
        <v>291</v>
      </c>
      <c r="P17" s="66">
        <v>73</v>
      </c>
      <c r="Q17" s="66">
        <v>73</v>
      </c>
      <c r="R17" s="66">
        <v>0</v>
      </c>
      <c r="S17" s="65" t="s">
        <v>34</v>
      </c>
      <c r="T17" s="65" t="s">
        <v>26</v>
      </c>
      <c r="U17" s="68">
        <v>3120</v>
      </c>
      <c r="V17" s="68">
        <v>227760</v>
      </c>
      <c r="W17" s="65" t="s">
        <v>28</v>
      </c>
      <c r="X17" s="65" t="s">
        <v>57</v>
      </c>
      <c r="Y17" s="69"/>
      <c r="Z17" s="69"/>
      <c r="AA17" s="67">
        <v>46279</v>
      </c>
      <c r="AB17" s="65" t="s">
        <v>70</v>
      </c>
    </row>
    <row r="18" spans="1:28">
      <c r="A18" s="65" t="s">
        <v>307</v>
      </c>
      <c r="B18" s="65" t="s">
        <v>77</v>
      </c>
      <c r="C18" s="65" t="s">
        <v>278</v>
      </c>
      <c r="D18" s="65" t="s">
        <v>23</v>
      </c>
      <c r="E18" s="65" t="s">
        <v>24</v>
      </c>
      <c r="F18" s="69"/>
      <c r="G18" s="66">
        <v>8</v>
      </c>
      <c r="H18" s="65" t="s">
        <v>179</v>
      </c>
      <c r="I18" s="65" t="s">
        <v>222</v>
      </c>
      <c r="J18" s="65"/>
      <c r="K18" s="67">
        <v>44767</v>
      </c>
      <c r="L18" s="67">
        <v>46567</v>
      </c>
      <c r="M18" s="66">
        <v>288</v>
      </c>
      <c r="N18" s="65" t="s">
        <v>57</v>
      </c>
      <c r="O18" s="65" t="s">
        <v>291</v>
      </c>
      <c r="P18" s="66">
        <v>73</v>
      </c>
      <c r="Q18" s="66">
        <v>73</v>
      </c>
      <c r="R18" s="66">
        <v>0</v>
      </c>
      <c r="S18" s="65" t="s">
        <v>34</v>
      </c>
      <c r="T18" s="65" t="s">
        <v>26</v>
      </c>
      <c r="U18" s="68">
        <v>3120</v>
      </c>
      <c r="V18" s="68">
        <v>227760</v>
      </c>
      <c r="W18" s="65" t="s">
        <v>28</v>
      </c>
      <c r="X18" s="65" t="s">
        <v>57</v>
      </c>
      <c r="Y18" s="69"/>
      <c r="Z18" s="69"/>
      <c r="AA18" s="67">
        <v>46279</v>
      </c>
      <c r="AB18" s="65" t="s">
        <v>70</v>
      </c>
    </row>
    <row r="19" spans="1:28">
      <c r="A19" s="65" t="s">
        <v>308</v>
      </c>
      <c r="B19" s="65" t="s">
        <v>77</v>
      </c>
      <c r="C19" s="65" t="s">
        <v>278</v>
      </c>
      <c r="D19" s="65" t="s">
        <v>23</v>
      </c>
      <c r="E19" s="65" t="s">
        <v>24</v>
      </c>
      <c r="F19" s="69"/>
      <c r="G19" s="66">
        <v>9</v>
      </c>
      <c r="H19" s="65" t="s">
        <v>180</v>
      </c>
      <c r="I19" s="65" t="s">
        <v>223</v>
      </c>
      <c r="J19" s="65"/>
      <c r="K19" s="67">
        <v>46020</v>
      </c>
      <c r="L19" s="67">
        <v>46567</v>
      </c>
      <c r="M19" s="66">
        <v>288</v>
      </c>
      <c r="N19" s="65" t="s">
        <v>57</v>
      </c>
      <c r="O19" s="65" t="s">
        <v>291</v>
      </c>
      <c r="P19" s="66">
        <v>73</v>
      </c>
      <c r="Q19" s="66">
        <v>73</v>
      </c>
      <c r="R19" s="66">
        <v>0</v>
      </c>
      <c r="S19" s="65" t="s">
        <v>34</v>
      </c>
      <c r="T19" s="65" t="s">
        <v>26</v>
      </c>
      <c r="U19" s="68">
        <v>3120</v>
      </c>
      <c r="V19" s="68">
        <v>227760</v>
      </c>
      <c r="W19" s="65" t="s">
        <v>28</v>
      </c>
      <c r="X19" s="65" t="s">
        <v>57</v>
      </c>
      <c r="Y19" s="69"/>
      <c r="Z19" s="69"/>
      <c r="AA19" s="67">
        <v>46279</v>
      </c>
      <c r="AB19" s="65" t="s">
        <v>70</v>
      </c>
    </row>
    <row r="20" spans="1:28">
      <c r="A20" s="65" t="s">
        <v>309</v>
      </c>
      <c r="B20" s="65" t="s">
        <v>77</v>
      </c>
      <c r="C20" s="65" t="s">
        <v>278</v>
      </c>
      <c r="D20" s="65" t="s">
        <v>23</v>
      </c>
      <c r="E20" s="65" t="s">
        <v>24</v>
      </c>
      <c r="F20" s="69"/>
      <c r="G20" s="66">
        <v>10</v>
      </c>
      <c r="H20" s="65" t="s">
        <v>181</v>
      </c>
      <c r="I20" s="65" t="s">
        <v>224</v>
      </c>
      <c r="J20" s="65"/>
      <c r="K20" s="67">
        <v>45722</v>
      </c>
      <c r="L20" s="67">
        <v>46567</v>
      </c>
      <c r="M20" s="66">
        <v>288</v>
      </c>
      <c r="N20" s="65" t="s">
        <v>57</v>
      </c>
      <c r="O20" s="65" t="s">
        <v>291</v>
      </c>
      <c r="P20" s="66">
        <v>73</v>
      </c>
      <c r="Q20" s="66">
        <v>73</v>
      </c>
      <c r="R20" s="66">
        <v>0</v>
      </c>
      <c r="S20" s="65" t="s">
        <v>34</v>
      </c>
      <c r="T20" s="65" t="s">
        <v>26</v>
      </c>
      <c r="U20" s="68">
        <v>3120</v>
      </c>
      <c r="V20" s="68">
        <v>227760</v>
      </c>
      <c r="W20" s="65" t="s">
        <v>28</v>
      </c>
      <c r="X20" s="65" t="s">
        <v>57</v>
      </c>
      <c r="Y20" s="69"/>
      <c r="Z20" s="69"/>
      <c r="AA20" s="67">
        <v>46279</v>
      </c>
      <c r="AB20" s="65" t="s">
        <v>70</v>
      </c>
    </row>
    <row r="21" spans="1:28">
      <c r="A21" s="65" t="s">
        <v>310</v>
      </c>
      <c r="B21" s="65" t="s">
        <v>77</v>
      </c>
      <c r="C21" s="65" t="s">
        <v>278</v>
      </c>
      <c r="D21" s="65" t="s">
        <v>23</v>
      </c>
      <c r="E21" s="65" t="s">
        <v>24</v>
      </c>
      <c r="F21" s="69"/>
      <c r="G21" s="66">
        <v>11</v>
      </c>
      <c r="H21" s="65" t="s">
        <v>182</v>
      </c>
      <c r="I21" s="65" t="s">
        <v>225</v>
      </c>
      <c r="J21" s="65"/>
      <c r="K21" s="67">
        <v>45799</v>
      </c>
      <c r="L21" s="67">
        <v>46567</v>
      </c>
      <c r="M21" s="66">
        <v>288</v>
      </c>
      <c r="N21" s="65" t="s">
        <v>57</v>
      </c>
      <c r="O21" s="65" t="s">
        <v>291</v>
      </c>
      <c r="P21" s="66">
        <v>73</v>
      </c>
      <c r="Q21" s="66">
        <v>73</v>
      </c>
      <c r="R21" s="66">
        <v>0</v>
      </c>
      <c r="S21" s="65" t="s">
        <v>34</v>
      </c>
      <c r="T21" s="65" t="s">
        <v>26</v>
      </c>
      <c r="U21" s="68">
        <v>3120</v>
      </c>
      <c r="V21" s="68">
        <v>227760</v>
      </c>
      <c r="W21" s="65" t="s">
        <v>28</v>
      </c>
      <c r="X21" s="65" t="s">
        <v>57</v>
      </c>
      <c r="Y21" s="69"/>
      <c r="Z21" s="69"/>
      <c r="AA21" s="67">
        <v>46279</v>
      </c>
      <c r="AB21" s="65" t="s">
        <v>70</v>
      </c>
    </row>
    <row r="22" spans="1:28">
      <c r="A22" s="65" t="s">
        <v>311</v>
      </c>
      <c r="B22" s="65" t="s">
        <v>77</v>
      </c>
      <c r="C22" s="65" t="s">
        <v>278</v>
      </c>
      <c r="D22" s="65" t="s">
        <v>23</v>
      </c>
      <c r="E22" s="65" t="s">
        <v>24</v>
      </c>
      <c r="F22" s="69"/>
      <c r="G22" s="66">
        <v>12</v>
      </c>
      <c r="H22" s="65" t="s">
        <v>126</v>
      </c>
      <c r="I22" s="65" t="s">
        <v>150</v>
      </c>
      <c r="J22" s="65"/>
      <c r="K22" s="67">
        <v>46100</v>
      </c>
      <c r="L22" s="67">
        <v>46567</v>
      </c>
      <c r="M22" s="66">
        <v>288</v>
      </c>
      <c r="N22" s="65" t="s">
        <v>57</v>
      </c>
      <c r="O22" s="65" t="s">
        <v>291</v>
      </c>
      <c r="P22" s="66">
        <v>73</v>
      </c>
      <c r="Q22" s="66">
        <v>73</v>
      </c>
      <c r="R22" s="66">
        <v>0</v>
      </c>
      <c r="S22" s="65" t="s">
        <v>34</v>
      </c>
      <c r="T22" s="65" t="s">
        <v>26</v>
      </c>
      <c r="U22" s="68">
        <v>3120</v>
      </c>
      <c r="V22" s="68">
        <v>227760</v>
      </c>
      <c r="W22" s="65" t="s">
        <v>28</v>
      </c>
      <c r="X22" s="65" t="s">
        <v>57</v>
      </c>
      <c r="Y22" s="69"/>
      <c r="Z22" s="69"/>
      <c r="AA22" s="67">
        <v>46279</v>
      </c>
      <c r="AB22" s="65" t="s">
        <v>70</v>
      </c>
    </row>
    <row r="23" spans="1:28">
      <c r="A23" s="65" t="s">
        <v>312</v>
      </c>
      <c r="B23" s="65" t="s">
        <v>77</v>
      </c>
      <c r="C23" s="65" t="s">
        <v>278</v>
      </c>
      <c r="D23" s="65" t="s">
        <v>23</v>
      </c>
      <c r="E23" s="65" t="s">
        <v>24</v>
      </c>
      <c r="F23" s="69"/>
      <c r="G23" s="66">
        <v>13</v>
      </c>
      <c r="H23" s="65" t="s">
        <v>183</v>
      </c>
      <c r="I23" s="65" t="s">
        <v>226</v>
      </c>
      <c r="J23" s="65"/>
      <c r="K23" s="67">
        <v>45722</v>
      </c>
      <c r="L23" s="67">
        <v>46567</v>
      </c>
      <c r="M23" s="66">
        <v>288</v>
      </c>
      <c r="N23" s="65" t="s">
        <v>57</v>
      </c>
      <c r="O23" s="65" t="s">
        <v>291</v>
      </c>
      <c r="P23" s="66">
        <v>73</v>
      </c>
      <c r="Q23" s="66">
        <v>73</v>
      </c>
      <c r="R23" s="66">
        <v>0</v>
      </c>
      <c r="S23" s="65" t="s">
        <v>34</v>
      </c>
      <c r="T23" s="65" t="s">
        <v>26</v>
      </c>
      <c r="U23" s="68">
        <v>3120</v>
      </c>
      <c r="V23" s="68">
        <v>227760</v>
      </c>
      <c r="W23" s="65" t="s">
        <v>28</v>
      </c>
      <c r="X23" s="65" t="s">
        <v>57</v>
      </c>
      <c r="Y23" s="69"/>
      <c r="Z23" s="69"/>
      <c r="AA23" s="67">
        <v>46279</v>
      </c>
      <c r="AB23" s="65" t="s">
        <v>70</v>
      </c>
    </row>
    <row r="24" spans="1:28">
      <c r="A24" s="65" t="s">
        <v>313</v>
      </c>
      <c r="B24" s="65" t="s">
        <v>77</v>
      </c>
      <c r="C24" s="65" t="s">
        <v>278</v>
      </c>
      <c r="D24" s="65" t="s">
        <v>23</v>
      </c>
      <c r="E24" s="65" t="s">
        <v>24</v>
      </c>
      <c r="F24" s="69"/>
      <c r="G24" s="66">
        <v>14</v>
      </c>
      <c r="H24" s="65" t="s">
        <v>184</v>
      </c>
      <c r="I24" s="65" t="s">
        <v>227</v>
      </c>
      <c r="J24" s="65"/>
      <c r="K24" s="67">
        <v>45722</v>
      </c>
      <c r="L24" s="67">
        <v>46567</v>
      </c>
      <c r="M24" s="66">
        <v>288</v>
      </c>
      <c r="N24" s="65" t="s">
        <v>57</v>
      </c>
      <c r="O24" s="65" t="s">
        <v>291</v>
      </c>
      <c r="P24" s="66">
        <v>73</v>
      </c>
      <c r="Q24" s="66">
        <v>73</v>
      </c>
      <c r="R24" s="66">
        <v>0</v>
      </c>
      <c r="S24" s="65" t="s">
        <v>34</v>
      </c>
      <c r="T24" s="65" t="s">
        <v>26</v>
      </c>
      <c r="U24" s="68">
        <v>3120</v>
      </c>
      <c r="V24" s="68">
        <v>227760</v>
      </c>
      <c r="W24" s="65" t="s">
        <v>28</v>
      </c>
      <c r="X24" s="65" t="s">
        <v>57</v>
      </c>
      <c r="Y24" s="69"/>
      <c r="Z24" s="69"/>
      <c r="AA24" s="67">
        <v>46279</v>
      </c>
      <c r="AB24" s="65" t="s">
        <v>70</v>
      </c>
    </row>
    <row r="25" spans="1:28">
      <c r="A25" s="65" t="s">
        <v>314</v>
      </c>
      <c r="B25" s="65" t="s">
        <v>77</v>
      </c>
      <c r="C25" s="65" t="s">
        <v>278</v>
      </c>
      <c r="D25" s="65" t="s">
        <v>23</v>
      </c>
      <c r="E25" s="65" t="s">
        <v>24</v>
      </c>
      <c r="F25" s="69"/>
      <c r="G25" s="66">
        <v>15</v>
      </c>
      <c r="H25" s="65" t="s">
        <v>185</v>
      </c>
      <c r="I25" s="65" t="s">
        <v>228</v>
      </c>
      <c r="J25" s="65"/>
      <c r="K25" s="67">
        <v>44767</v>
      </c>
      <c r="L25" s="67">
        <v>46567</v>
      </c>
      <c r="M25" s="66">
        <v>288</v>
      </c>
      <c r="N25" s="65" t="s">
        <v>57</v>
      </c>
      <c r="O25" s="65" t="s">
        <v>291</v>
      </c>
      <c r="P25" s="66">
        <v>73</v>
      </c>
      <c r="Q25" s="66">
        <v>73</v>
      </c>
      <c r="R25" s="66">
        <v>0</v>
      </c>
      <c r="S25" s="65" t="s">
        <v>34</v>
      </c>
      <c r="T25" s="65" t="s">
        <v>26</v>
      </c>
      <c r="U25" s="68">
        <v>3120</v>
      </c>
      <c r="V25" s="68">
        <v>227760</v>
      </c>
      <c r="W25" s="65" t="s">
        <v>28</v>
      </c>
      <c r="X25" s="65" t="s">
        <v>57</v>
      </c>
      <c r="Y25" s="69"/>
      <c r="Z25" s="69"/>
      <c r="AA25" s="67">
        <v>46279</v>
      </c>
      <c r="AB25" s="65" t="s">
        <v>70</v>
      </c>
    </row>
    <row r="26" spans="1:28">
      <c r="A26" s="65" t="s">
        <v>315</v>
      </c>
      <c r="B26" s="65" t="s">
        <v>77</v>
      </c>
      <c r="C26" s="65" t="s">
        <v>278</v>
      </c>
      <c r="D26" s="65" t="s">
        <v>23</v>
      </c>
      <c r="E26" s="65" t="s">
        <v>24</v>
      </c>
      <c r="F26" s="69"/>
      <c r="G26" s="66">
        <v>16</v>
      </c>
      <c r="H26" s="65" t="s">
        <v>186</v>
      </c>
      <c r="I26" s="65" t="s">
        <v>229</v>
      </c>
      <c r="J26" s="65"/>
      <c r="K26" s="67">
        <v>45722</v>
      </c>
      <c r="L26" s="67">
        <v>46567</v>
      </c>
      <c r="M26" s="66">
        <v>288</v>
      </c>
      <c r="N26" s="65" t="s">
        <v>57</v>
      </c>
      <c r="O26" s="65" t="s">
        <v>291</v>
      </c>
      <c r="P26" s="66">
        <v>73</v>
      </c>
      <c r="Q26" s="66">
        <v>73</v>
      </c>
      <c r="R26" s="66">
        <v>0</v>
      </c>
      <c r="S26" s="65" t="s">
        <v>34</v>
      </c>
      <c r="T26" s="65" t="s">
        <v>26</v>
      </c>
      <c r="U26" s="68">
        <v>3120</v>
      </c>
      <c r="V26" s="68">
        <v>227760</v>
      </c>
      <c r="W26" s="65" t="s">
        <v>28</v>
      </c>
      <c r="X26" s="65" t="s">
        <v>57</v>
      </c>
      <c r="Y26" s="69"/>
      <c r="Z26" s="69"/>
      <c r="AA26" s="67">
        <v>46279</v>
      </c>
      <c r="AB26" s="65" t="s">
        <v>70</v>
      </c>
    </row>
    <row r="27" spans="1:28">
      <c r="A27" s="65" t="s">
        <v>316</v>
      </c>
      <c r="B27" s="65" t="s">
        <v>77</v>
      </c>
      <c r="C27" s="65" t="s">
        <v>278</v>
      </c>
      <c r="D27" s="65" t="s">
        <v>23</v>
      </c>
      <c r="E27" s="65" t="s">
        <v>24</v>
      </c>
      <c r="F27" s="69"/>
      <c r="G27" s="66">
        <v>17</v>
      </c>
      <c r="H27" s="65" t="s">
        <v>187</v>
      </c>
      <c r="I27" s="65" t="s">
        <v>230</v>
      </c>
      <c r="J27" s="65"/>
      <c r="K27" s="67">
        <v>45722</v>
      </c>
      <c r="L27" s="67">
        <v>46567</v>
      </c>
      <c r="M27" s="66">
        <v>288</v>
      </c>
      <c r="N27" s="65" t="s">
        <v>57</v>
      </c>
      <c r="O27" s="65" t="s">
        <v>291</v>
      </c>
      <c r="P27" s="66">
        <v>73</v>
      </c>
      <c r="Q27" s="66">
        <v>73</v>
      </c>
      <c r="R27" s="66">
        <v>0</v>
      </c>
      <c r="S27" s="65" t="s">
        <v>34</v>
      </c>
      <c r="T27" s="65" t="s">
        <v>26</v>
      </c>
      <c r="U27" s="68">
        <v>3120</v>
      </c>
      <c r="V27" s="68">
        <v>227760</v>
      </c>
      <c r="W27" s="65" t="s">
        <v>28</v>
      </c>
      <c r="X27" s="65" t="s">
        <v>57</v>
      </c>
      <c r="Y27" s="69"/>
      <c r="Z27" s="69"/>
      <c r="AA27" s="67">
        <v>46279</v>
      </c>
      <c r="AB27" s="65" t="s">
        <v>70</v>
      </c>
    </row>
    <row r="28" spans="1:28">
      <c r="A28" s="65" t="s">
        <v>317</v>
      </c>
      <c r="B28" s="65" t="s">
        <v>77</v>
      </c>
      <c r="C28" s="65" t="s">
        <v>278</v>
      </c>
      <c r="D28" s="65" t="s">
        <v>23</v>
      </c>
      <c r="E28" s="65" t="s">
        <v>24</v>
      </c>
      <c r="F28" s="69"/>
      <c r="G28" s="66">
        <v>18</v>
      </c>
      <c r="H28" s="65" t="s">
        <v>127</v>
      </c>
      <c r="I28" s="65" t="s">
        <v>151</v>
      </c>
      <c r="J28" s="65"/>
      <c r="K28" s="67">
        <v>45722</v>
      </c>
      <c r="L28" s="67">
        <v>46567</v>
      </c>
      <c r="M28" s="66">
        <v>288</v>
      </c>
      <c r="N28" s="65" t="s">
        <v>57</v>
      </c>
      <c r="O28" s="65" t="s">
        <v>291</v>
      </c>
      <c r="P28" s="66">
        <v>73</v>
      </c>
      <c r="Q28" s="66">
        <v>73</v>
      </c>
      <c r="R28" s="66">
        <v>0</v>
      </c>
      <c r="S28" s="65" t="s">
        <v>34</v>
      </c>
      <c r="T28" s="65" t="s">
        <v>26</v>
      </c>
      <c r="U28" s="68">
        <v>3120</v>
      </c>
      <c r="V28" s="68">
        <v>227760</v>
      </c>
      <c r="W28" s="65" t="s">
        <v>28</v>
      </c>
      <c r="X28" s="65" t="s">
        <v>57</v>
      </c>
      <c r="Y28" s="69"/>
      <c r="Z28" s="69"/>
      <c r="AA28" s="67">
        <v>46279</v>
      </c>
      <c r="AB28" s="65" t="s">
        <v>70</v>
      </c>
    </row>
    <row r="29" spans="1:28">
      <c r="A29" s="65" t="s">
        <v>318</v>
      </c>
      <c r="B29" s="65" t="s">
        <v>77</v>
      </c>
      <c r="C29" s="65" t="s">
        <v>278</v>
      </c>
      <c r="D29" s="65" t="s">
        <v>23</v>
      </c>
      <c r="E29" s="65" t="s">
        <v>24</v>
      </c>
      <c r="F29" s="69"/>
      <c r="G29" s="66">
        <v>19</v>
      </c>
      <c r="H29" s="65" t="s">
        <v>188</v>
      </c>
      <c r="I29" s="65" t="s">
        <v>231</v>
      </c>
      <c r="J29" s="65"/>
      <c r="K29" s="67">
        <v>45722</v>
      </c>
      <c r="L29" s="67">
        <v>46567</v>
      </c>
      <c r="M29" s="66">
        <v>288</v>
      </c>
      <c r="N29" s="65" t="s">
        <v>57</v>
      </c>
      <c r="O29" s="65" t="s">
        <v>291</v>
      </c>
      <c r="P29" s="66">
        <v>73</v>
      </c>
      <c r="Q29" s="66">
        <v>73</v>
      </c>
      <c r="R29" s="66">
        <v>0</v>
      </c>
      <c r="S29" s="65" t="s">
        <v>34</v>
      </c>
      <c r="T29" s="65" t="s">
        <v>26</v>
      </c>
      <c r="U29" s="68">
        <v>3120</v>
      </c>
      <c r="V29" s="68">
        <v>227760</v>
      </c>
      <c r="W29" s="65" t="s">
        <v>28</v>
      </c>
      <c r="X29" s="65" t="s">
        <v>57</v>
      </c>
      <c r="Y29" s="69"/>
      <c r="Z29" s="69"/>
      <c r="AA29" s="67">
        <v>46279</v>
      </c>
      <c r="AB29" s="65" t="s">
        <v>70</v>
      </c>
    </row>
    <row r="30" spans="1:28">
      <c r="A30" s="65" t="s">
        <v>319</v>
      </c>
      <c r="B30" s="65" t="s">
        <v>77</v>
      </c>
      <c r="C30" s="65" t="s">
        <v>278</v>
      </c>
      <c r="D30" s="65" t="s">
        <v>23</v>
      </c>
      <c r="E30" s="65" t="s">
        <v>24</v>
      </c>
      <c r="F30" s="69"/>
      <c r="G30" s="66">
        <v>20</v>
      </c>
      <c r="H30" s="65" t="s">
        <v>128</v>
      </c>
      <c r="I30" s="65" t="s">
        <v>152</v>
      </c>
      <c r="J30" s="65"/>
      <c r="K30" s="67">
        <v>44767</v>
      </c>
      <c r="L30" s="67">
        <v>46567</v>
      </c>
      <c r="M30" s="66">
        <v>288</v>
      </c>
      <c r="N30" s="65" t="s">
        <v>57</v>
      </c>
      <c r="O30" s="65" t="s">
        <v>291</v>
      </c>
      <c r="P30" s="66">
        <v>73</v>
      </c>
      <c r="Q30" s="66">
        <v>73</v>
      </c>
      <c r="R30" s="66">
        <v>0</v>
      </c>
      <c r="S30" s="65" t="s">
        <v>34</v>
      </c>
      <c r="T30" s="65" t="s">
        <v>26</v>
      </c>
      <c r="U30" s="68">
        <v>3120</v>
      </c>
      <c r="V30" s="68">
        <v>227760</v>
      </c>
      <c r="W30" s="65" t="s">
        <v>28</v>
      </c>
      <c r="X30" s="65" t="s">
        <v>57</v>
      </c>
      <c r="Y30" s="69"/>
      <c r="Z30" s="69"/>
      <c r="AA30" s="67">
        <v>46279</v>
      </c>
      <c r="AB30" s="65" t="s">
        <v>70</v>
      </c>
    </row>
    <row r="31" spans="1:28">
      <c r="A31" s="65" t="s">
        <v>320</v>
      </c>
      <c r="B31" s="65" t="s">
        <v>77</v>
      </c>
      <c r="C31" s="65" t="s">
        <v>278</v>
      </c>
      <c r="D31" s="65" t="s">
        <v>23</v>
      </c>
      <c r="E31" s="65" t="s">
        <v>24</v>
      </c>
      <c r="F31" s="69"/>
      <c r="G31" s="66">
        <v>21</v>
      </c>
      <c r="H31" s="65" t="s">
        <v>129</v>
      </c>
      <c r="I31" s="65" t="s">
        <v>153</v>
      </c>
      <c r="J31" s="65"/>
      <c r="K31" s="67">
        <v>45958</v>
      </c>
      <c r="L31" s="67">
        <v>46567</v>
      </c>
      <c r="M31" s="66">
        <v>288</v>
      </c>
      <c r="N31" s="65" t="s">
        <v>57</v>
      </c>
      <c r="O31" s="65" t="s">
        <v>291</v>
      </c>
      <c r="P31" s="66">
        <v>73</v>
      </c>
      <c r="Q31" s="66">
        <v>73</v>
      </c>
      <c r="R31" s="66">
        <v>0</v>
      </c>
      <c r="S31" s="65" t="s">
        <v>34</v>
      </c>
      <c r="T31" s="65" t="s">
        <v>26</v>
      </c>
      <c r="U31" s="68">
        <v>3120</v>
      </c>
      <c r="V31" s="68">
        <v>227760</v>
      </c>
      <c r="W31" s="65" t="s">
        <v>28</v>
      </c>
      <c r="X31" s="65" t="s">
        <v>57</v>
      </c>
      <c r="Y31" s="69"/>
      <c r="Z31" s="69"/>
      <c r="AA31" s="67">
        <v>46279</v>
      </c>
      <c r="AB31" s="65" t="s">
        <v>70</v>
      </c>
    </row>
    <row r="32" spans="1:28">
      <c r="A32" s="65" t="s">
        <v>321</v>
      </c>
      <c r="B32" s="65" t="s">
        <v>77</v>
      </c>
      <c r="C32" s="65" t="s">
        <v>278</v>
      </c>
      <c r="D32" s="65" t="s">
        <v>23</v>
      </c>
      <c r="E32" s="65" t="s">
        <v>24</v>
      </c>
      <c r="F32" s="69"/>
      <c r="G32" s="66">
        <v>22</v>
      </c>
      <c r="H32" s="65" t="s">
        <v>189</v>
      </c>
      <c r="I32" s="65" t="s">
        <v>232</v>
      </c>
      <c r="J32" s="65"/>
      <c r="K32" s="67">
        <v>45722</v>
      </c>
      <c r="L32" s="67">
        <v>46567</v>
      </c>
      <c r="M32" s="66">
        <v>288</v>
      </c>
      <c r="N32" s="65" t="s">
        <v>57</v>
      </c>
      <c r="O32" s="65" t="s">
        <v>291</v>
      </c>
      <c r="P32" s="66">
        <v>73</v>
      </c>
      <c r="Q32" s="66">
        <v>73</v>
      </c>
      <c r="R32" s="66">
        <v>0</v>
      </c>
      <c r="S32" s="65" t="s">
        <v>34</v>
      </c>
      <c r="T32" s="65" t="s">
        <v>26</v>
      </c>
      <c r="U32" s="68">
        <v>3120</v>
      </c>
      <c r="V32" s="68">
        <v>227760</v>
      </c>
      <c r="W32" s="65" t="s">
        <v>28</v>
      </c>
      <c r="X32" s="65" t="s">
        <v>57</v>
      </c>
      <c r="Y32" s="69"/>
      <c r="Z32" s="69"/>
      <c r="AA32" s="67">
        <v>46279</v>
      </c>
      <c r="AB32" s="65" t="s">
        <v>70</v>
      </c>
    </row>
    <row r="33" spans="1:28">
      <c r="A33" s="65" t="s">
        <v>322</v>
      </c>
      <c r="B33" s="65" t="s">
        <v>77</v>
      </c>
      <c r="C33" s="65" t="s">
        <v>278</v>
      </c>
      <c r="D33" s="65" t="s">
        <v>23</v>
      </c>
      <c r="E33" s="65" t="s">
        <v>24</v>
      </c>
      <c r="F33" s="69"/>
      <c r="G33" s="66">
        <v>23</v>
      </c>
      <c r="H33" s="65" t="s">
        <v>130</v>
      </c>
      <c r="I33" s="65" t="s">
        <v>154</v>
      </c>
      <c r="J33" s="65"/>
      <c r="K33" s="67">
        <v>44767</v>
      </c>
      <c r="L33" s="67">
        <v>46567</v>
      </c>
      <c r="M33" s="66">
        <v>288</v>
      </c>
      <c r="N33" s="65" t="s">
        <v>57</v>
      </c>
      <c r="O33" s="65" t="s">
        <v>291</v>
      </c>
      <c r="P33" s="66">
        <v>73</v>
      </c>
      <c r="Q33" s="66">
        <v>73</v>
      </c>
      <c r="R33" s="66">
        <v>0</v>
      </c>
      <c r="S33" s="65" t="s">
        <v>34</v>
      </c>
      <c r="T33" s="65" t="s">
        <v>26</v>
      </c>
      <c r="U33" s="68">
        <v>3120</v>
      </c>
      <c r="V33" s="68">
        <v>227760</v>
      </c>
      <c r="W33" s="65" t="s">
        <v>28</v>
      </c>
      <c r="X33" s="65" t="s">
        <v>57</v>
      </c>
      <c r="Y33" s="69"/>
      <c r="Z33" s="69"/>
      <c r="AA33" s="67">
        <v>46279</v>
      </c>
      <c r="AB33" s="65" t="s">
        <v>70</v>
      </c>
    </row>
    <row r="34" spans="1:28">
      <c r="A34" s="65" t="s">
        <v>323</v>
      </c>
      <c r="B34" s="65" t="s">
        <v>77</v>
      </c>
      <c r="C34" s="65" t="s">
        <v>278</v>
      </c>
      <c r="D34" s="65" t="s">
        <v>23</v>
      </c>
      <c r="E34" s="65" t="s">
        <v>24</v>
      </c>
      <c r="F34" s="69"/>
      <c r="G34" s="66">
        <v>24</v>
      </c>
      <c r="H34" s="65" t="s">
        <v>131</v>
      </c>
      <c r="I34" s="65" t="s">
        <v>155</v>
      </c>
      <c r="J34" s="65"/>
      <c r="K34" s="67">
        <v>45722</v>
      </c>
      <c r="L34" s="67">
        <v>46567</v>
      </c>
      <c r="M34" s="66">
        <v>288</v>
      </c>
      <c r="N34" s="65" t="s">
        <v>57</v>
      </c>
      <c r="O34" s="65" t="s">
        <v>291</v>
      </c>
      <c r="P34" s="66">
        <v>73</v>
      </c>
      <c r="Q34" s="66">
        <v>73</v>
      </c>
      <c r="R34" s="66">
        <v>0</v>
      </c>
      <c r="S34" s="65" t="s">
        <v>34</v>
      </c>
      <c r="T34" s="65" t="s">
        <v>26</v>
      </c>
      <c r="U34" s="68">
        <v>3120</v>
      </c>
      <c r="V34" s="68">
        <v>227760</v>
      </c>
      <c r="W34" s="65" t="s">
        <v>28</v>
      </c>
      <c r="X34" s="65" t="s">
        <v>57</v>
      </c>
      <c r="Y34" s="69"/>
      <c r="Z34" s="69"/>
      <c r="AA34" s="67">
        <v>46279</v>
      </c>
      <c r="AB34" s="65" t="s">
        <v>70</v>
      </c>
    </row>
    <row r="35" spans="1:28">
      <c r="A35" s="65" t="s">
        <v>324</v>
      </c>
      <c r="B35" s="65" t="s">
        <v>77</v>
      </c>
      <c r="C35" s="65" t="s">
        <v>278</v>
      </c>
      <c r="D35" s="65" t="s">
        <v>23</v>
      </c>
      <c r="E35" s="65" t="s">
        <v>24</v>
      </c>
      <c r="F35" s="69"/>
      <c r="G35" s="66">
        <v>25</v>
      </c>
      <c r="H35" s="65" t="s">
        <v>190</v>
      </c>
      <c r="I35" s="65" t="s">
        <v>233</v>
      </c>
      <c r="J35" s="65"/>
      <c r="K35" s="67">
        <v>45722</v>
      </c>
      <c r="L35" s="67">
        <v>46567</v>
      </c>
      <c r="M35" s="66">
        <v>288</v>
      </c>
      <c r="N35" s="65" t="s">
        <v>57</v>
      </c>
      <c r="O35" s="65" t="s">
        <v>291</v>
      </c>
      <c r="P35" s="66">
        <v>73</v>
      </c>
      <c r="Q35" s="66">
        <v>73</v>
      </c>
      <c r="R35" s="66">
        <v>0</v>
      </c>
      <c r="S35" s="65" t="s">
        <v>34</v>
      </c>
      <c r="T35" s="65" t="s">
        <v>26</v>
      </c>
      <c r="U35" s="68">
        <v>3120</v>
      </c>
      <c r="V35" s="68">
        <v>227760</v>
      </c>
      <c r="W35" s="65" t="s">
        <v>28</v>
      </c>
      <c r="X35" s="65" t="s">
        <v>57</v>
      </c>
      <c r="Y35" s="69"/>
      <c r="Z35" s="69"/>
      <c r="AA35" s="67">
        <v>46279</v>
      </c>
      <c r="AB35" s="65" t="s">
        <v>70</v>
      </c>
    </row>
    <row r="36" spans="1:28">
      <c r="A36" s="65" t="s">
        <v>325</v>
      </c>
      <c r="B36" s="65" t="s">
        <v>77</v>
      </c>
      <c r="C36" s="65" t="s">
        <v>278</v>
      </c>
      <c r="D36" s="65" t="s">
        <v>23</v>
      </c>
      <c r="E36" s="65" t="s">
        <v>24</v>
      </c>
      <c r="F36" s="69"/>
      <c r="G36" s="66">
        <v>26</v>
      </c>
      <c r="H36" s="65" t="s">
        <v>132</v>
      </c>
      <c r="I36" s="65" t="s">
        <v>156</v>
      </c>
      <c r="J36" s="65"/>
      <c r="K36" s="67">
        <v>46021</v>
      </c>
      <c r="L36" s="67">
        <v>46567</v>
      </c>
      <c r="M36" s="66">
        <v>288</v>
      </c>
      <c r="N36" s="65" t="s">
        <v>57</v>
      </c>
      <c r="O36" s="65" t="s">
        <v>291</v>
      </c>
      <c r="P36" s="66">
        <v>73</v>
      </c>
      <c r="Q36" s="66">
        <v>73</v>
      </c>
      <c r="R36" s="66">
        <v>0</v>
      </c>
      <c r="S36" s="65" t="s">
        <v>34</v>
      </c>
      <c r="T36" s="65" t="s">
        <v>26</v>
      </c>
      <c r="U36" s="68">
        <v>3120</v>
      </c>
      <c r="V36" s="68">
        <v>227760</v>
      </c>
      <c r="W36" s="65" t="s">
        <v>28</v>
      </c>
      <c r="X36" s="65" t="s">
        <v>57</v>
      </c>
      <c r="Y36" s="69"/>
      <c r="Z36" s="69"/>
      <c r="AA36" s="67">
        <v>46279</v>
      </c>
      <c r="AB36" s="65" t="s">
        <v>70</v>
      </c>
    </row>
    <row r="37" spans="1:28">
      <c r="A37" s="65" t="s">
        <v>326</v>
      </c>
      <c r="B37" s="65" t="s">
        <v>77</v>
      </c>
      <c r="C37" s="65" t="s">
        <v>278</v>
      </c>
      <c r="D37" s="65" t="s">
        <v>23</v>
      </c>
      <c r="E37" s="65" t="s">
        <v>24</v>
      </c>
      <c r="F37" s="69"/>
      <c r="G37" s="66">
        <v>27</v>
      </c>
      <c r="H37" s="65" t="s">
        <v>133</v>
      </c>
      <c r="I37" s="65" t="s">
        <v>157</v>
      </c>
      <c r="J37" s="65"/>
      <c r="K37" s="67">
        <v>45722</v>
      </c>
      <c r="L37" s="67">
        <v>46567</v>
      </c>
      <c r="M37" s="66">
        <v>288</v>
      </c>
      <c r="N37" s="65" t="s">
        <v>57</v>
      </c>
      <c r="O37" s="65" t="s">
        <v>291</v>
      </c>
      <c r="P37" s="66">
        <v>73</v>
      </c>
      <c r="Q37" s="66">
        <v>73</v>
      </c>
      <c r="R37" s="66">
        <v>0</v>
      </c>
      <c r="S37" s="65" t="s">
        <v>34</v>
      </c>
      <c r="T37" s="65" t="s">
        <v>26</v>
      </c>
      <c r="U37" s="68">
        <v>3120</v>
      </c>
      <c r="V37" s="68">
        <v>227760</v>
      </c>
      <c r="W37" s="65" t="s">
        <v>28</v>
      </c>
      <c r="X37" s="65" t="s">
        <v>57</v>
      </c>
      <c r="Y37" s="69"/>
      <c r="Z37" s="69"/>
      <c r="AA37" s="67">
        <v>46279</v>
      </c>
      <c r="AB37" s="65" t="s">
        <v>70</v>
      </c>
    </row>
    <row r="38" spans="1:28">
      <c r="A38" s="65" t="s">
        <v>327</v>
      </c>
      <c r="B38" s="65" t="s">
        <v>77</v>
      </c>
      <c r="C38" s="65" t="s">
        <v>278</v>
      </c>
      <c r="D38" s="65" t="s">
        <v>23</v>
      </c>
      <c r="E38" s="65" t="s">
        <v>24</v>
      </c>
      <c r="F38" s="69"/>
      <c r="G38" s="66">
        <v>28</v>
      </c>
      <c r="H38" s="65" t="s">
        <v>191</v>
      </c>
      <c r="I38" s="65" t="s">
        <v>234</v>
      </c>
      <c r="J38" s="65"/>
      <c r="K38" s="67">
        <v>46234</v>
      </c>
      <c r="L38" s="67">
        <v>46567</v>
      </c>
      <c r="M38" s="66">
        <v>288</v>
      </c>
      <c r="N38" s="65" t="s">
        <v>57</v>
      </c>
      <c r="O38" s="65" t="s">
        <v>291</v>
      </c>
      <c r="P38" s="66">
        <v>73</v>
      </c>
      <c r="Q38" s="66">
        <v>73</v>
      </c>
      <c r="R38" s="66">
        <v>0</v>
      </c>
      <c r="S38" s="65" t="s">
        <v>34</v>
      </c>
      <c r="T38" s="65" t="s">
        <v>26</v>
      </c>
      <c r="U38" s="68">
        <v>3120</v>
      </c>
      <c r="V38" s="68">
        <v>227760</v>
      </c>
      <c r="W38" s="65" t="s">
        <v>28</v>
      </c>
      <c r="X38" s="65" t="s">
        <v>57</v>
      </c>
      <c r="Y38" s="69"/>
      <c r="Z38" s="69"/>
      <c r="AA38" s="67">
        <v>46279</v>
      </c>
      <c r="AB38" s="65" t="s">
        <v>70</v>
      </c>
    </row>
    <row r="39" spans="1:28">
      <c r="A39" s="65" t="s">
        <v>328</v>
      </c>
      <c r="B39" s="65" t="s">
        <v>77</v>
      </c>
      <c r="C39" s="65" t="s">
        <v>278</v>
      </c>
      <c r="D39" s="65" t="s">
        <v>23</v>
      </c>
      <c r="E39" s="65" t="s">
        <v>24</v>
      </c>
      <c r="F39" s="69"/>
      <c r="G39" s="66">
        <v>29</v>
      </c>
      <c r="H39" s="65" t="s">
        <v>134</v>
      </c>
      <c r="I39" s="65" t="s">
        <v>158</v>
      </c>
      <c r="J39" s="65"/>
      <c r="K39" s="67">
        <v>44767</v>
      </c>
      <c r="L39" s="67">
        <v>46567</v>
      </c>
      <c r="M39" s="66">
        <v>288</v>
      </c>
      <c r="N39" s="65" t="s">
        <v>57</v>
      </c>
      <c r="O39" s="65" t="s">
        <v>291</v>
      </c>
      <c r="P39" s="66">
        <v>73</v>
      </c>
      <c r="Q39" s="66">
        <v>73</v>
      </c>
      <c r="R39" s="66">
        <v>0</v>
      </c>
      <c r="S39" s="65" t="s">
        <v>34</v>
      </c>
      <c r="T39" s="65" t="s">
        <v>26</v>
      </c>
      <c r="U39" s="68">
        <v>3120</v>
      </c>
      <c r="V39" s="68">
        <v>227760</v>
      </c>
      <c r="W39" s="65" t="s">
        <v>28</v>
      </c>
      <c r="X39" s="65" t="s">
        <v>57</v>
      </c>
      <c r="Y39" s="69"/>
      <c r="Z39" s="69"/>
      <c r="AA39" s="67">
        <v>46279</v>
      </c>
      <c r="AB39" s="65" t="s">
        <v>70</v>
      </c>
    </row>
    <row r="40" spans="1:28">
      <c r="A40" s="65" t="s">
        <v>329</v>
      </c>
      <c r="B40" s="65" t="s">
        <v>77</v>
      </c>
      <c r="C40" s="65" t="s">
        <v>278</v>
      </c>
      <c r="D40" s="65" t="s">
        <v>23</v>
      </c>
      <c r="E40" s="65" t="s">
        <v>24</v>
      </c>
      <c r="F40" s="69"/>
      <c r="G40" s="66">
        <v>30</v>
      </c>
      <c r="H40" s="65" t="s">
        <v>192</v>
      </c>
      <c r="I40" s="65" t="s">
        <v>235</v>
      </c>
      <c r="J40" s="65"/>
      <c r="K40" s="67">
        <v>45722</v>
      </c>
      <c r="L40" s="67">
        <v>46567</v>
      </c>
      <c r="M40" s="66">
        <v>288</v>
      </c>
      <c r="N40" s="65" t="s">
        <v>57</v>
      </c>
      <c r="O40" s="65" t="s">
        <v>291</v>
      </c>
      <c r="P40" s="66">
        <v>73</v>
      </c>
      <c r="Q40" s="66">
        <v>73</v>
      </c>
      <c r="R40" s="66">
        <v>0</v>
      </c>
      <c r="S40" s="65" t="s">
        <v>34</v>
      </c>
      <c r="T40" s="65" t="s">
        <v>26</v>
      </c>
      <c r="U40" s="68">
        <v>3120</v>
      </c>
      <c r="V40" s="68">
        <v>227760</v>
      </c>
      <c r="W40" s="65" t="s">
        <v>28</v>
      </c>
      <c r="X40" s="65" t="s">
        <v>57</v>
      </c>
      <c r="Y40" s="69"/>
      <c r="Z40" s="69"/>
      <c r="AA40" s="67">
        <v>46279</v>
      </c>
      <c r="AB40" s="65" t="s">
        <v>70</v>
      </c>
    </row>
    <row r="41" spans="1:28">
      <c r="A41" s="65" t="s">
        <v>330</v>
      </c>
      <c r="B41" s="65" t="s">
        <v>77</v>
      </c>
      <c r="C41" s="65" t="s">
        <v>278</v>
      </c>
      <c r="D41" s="65" t="s">
        <v>23</v>
      </c>
      <c r="E41" s="65" t="s">
        <v>24</v>
      </c>
      <c r="F41" s="69"/>
      <c r="G41" s="66">
        <v>31</v>
      </c>
      <c r="H41" s="65" t="s">
        <v>135</v>
      </c>
      <c r="I41" s="65" t="s">
        <v>64</v>
      </c>
      <c r="J41" s="65"/>
      <c r="K41" s="67">
        <v>44767</v>
      </c>
      <c r="L41" s="67">
        <v>46567</v>
      </c>
      <c r="M41" s="66">
        <v>288</v>
      </c>
      <c r="N41" s="65" t="s">
        <v>57</v>
      </c>
      <c r="O41" s="65" t="s">
        <v>291</v>
      </c>
      <c r="P41" s="66">
        <v>73</v>
      </c>
      <c r="Q41" s="66">
        <v>73</v>
      </c>
      <c r="R41" s="66">
        <v>0</v>
      </c>
      <c r="S41" s="65" t="s">
        <v>34</v>
      </c>
      <c r="T41" s="65" t="s">
        <v>26</v>
      </c>
      <c r="U41" s="68">
        <v>3120</v>
      </c>
      <c r="V41" s="68">
        <v>227760</v>
      </c>
      <c r="W41" s="65" t="s">
        <v>28</v>
      </c>
      <c r="X41" s="65" t="s">
        <v>57</v>
      </c>
      <c r="Y41" s="69"/>
      <c r="Z41" s="69"/>
      <c r="AA41" s="67">
        <v>46279</v>
      </c>
      <c r="AB41" s="65" t="s">
        <v>70</v>
      </c>
    </row>
    <row r="42" spans="1:28">
      <c r="A42" s="65" t="s">
        <v>331</v>
      </c>
      <c r="B42" s="65" t="s">
        <v>77</v>
      </c>
      <c r="C42" s="65" t="s">
        <v>278</v>
      </c>
      <c r="D42" s="65" t="s">
        <v>23</v>
      </c>
      <c r="E42" s="65" t="s">
        <v>24</v>
      </c>
      <c r="F42" s="69"/>
      <c r="G42" s="66">
        <v>32</v>
      </c>
      <c r="H42" s="65" t="s">
        <v>193</v>
      </c>
      <c r="I42" s="65" t="s">
        <v>236</v>
      </c>
      <c r="J42" s="65"/>
      <c r="K42" s="67">
        <v>45722</v>
      </c>
      <c r="L42" s="67">
        <v>46567</v>
      </c>
      <c r="M42" s="66">
        <v>288</v>
      </c>
      <c r="N42" s="65" t="s">
        <v>57</v>
      </c>
      <c r="O42" s="65" t="s">
        <v>291</v>
      </c>
      <c r="P42" s="66">
        <v>73</v>
      </c>
      <c r="Q42" s="66">
        <v>73</v>
      </c>
      <c r="R42" s="66">
        <v>0</v>
      </c>
      <c r="S42" s="65" t="s">
        <v>34</v>
      </c>
      <c r="T42" s="65" t="s">
        <v>26</v>
      </c>
      <c r="U42" s="68">
        <v>3120</v>
      </c>
      <c r="V42" s="68">
        <v>227760</v>
      </c>
      <c r="W42" s="65" t="s">
        <v>28</v>
      </c>
      <c r="X42" s="65" t="s">
        <v>57</v>
      </c>
      <c r="Y42" s="69"/>
      <c r="Z42" s="69"/>
      <c r="AA42" s="67">
        <v>46279</v>
      </c>
      <c r="AB42" s="65" t="s">
        <v>70</v>
      </c>
    </row>
    <row r="43" spans="1:28">
      <c r="A43" s="65" t="s">
        <v>332</v>
      </c>
      <c r="B43" s="65" t="s">
        <v>77</v>
      </c>
      <c r="C43" s="65" t="s">
        <v>278</v>
      </c>
      <c r="D43" s="65" t="s">
        <v>23</v>
      </c>
      <c r="E43" s="65" t="s">
        <v>24</v>
      </c>
      <c r="F43" s="69"/>
      <c r="G43" s="66">
        <v>33</v>
      </c>
      <c r="H43" s="65" t="s">
        <v>194</v>
      </c>
      <c r="I43" s="65" t="s">
        <v>237</v>
      </c>
      <c r="J43" s="65"/>
      <c r="K43" s="67">
        <v>45722</v>
      </c>
      <c r="L43" s="67">
        <v>46567</v>
      </c>
      <c r="M43" s="66">
        <v>288</v>
      </c>
      <c r="N43" s="65" t="s">
        <v>57</v>
      </c>
      <c r="O43" s="65" t="s">
        <v>291</v>
      </c>
      <c r="P43" s="66">
        <v>73</v>
      </c>
      <c r="Q43" s="66">
        <v>73</v>
      </c>
      <c r="R43" s="66">
        <v>0</v>
      </c>
      <c r="S43" s="65" t="s">
        <v>34</v>
      </c>
      <c r="T43" s="65" t="s">
        <v>26</v>
      </c>
      <c r="U43" s="68">
        <v>3120</v>
      </c>
      <c r="V43" s="68">
        <v>227760</v>
      </c>
      <c r="W43" s="65" t="s">
        <v>28</v>
      </c>
      <c r="X43" s="65" t="s">
        <v>57</v>
      </c>
      <c r="Y43" s="69"/>
      <c r="Z43" s="69"/>
      <c r="AA43" s="67">
        <v>46279</v>
      </c>
      <c r="AB43" s="65" t="s">
        <v>70</v>
      </c>
    </row>
    <row r="44" spans="1:28">
      <c r="A44" s="65" t="s">
        <v>333</v>
      </c>
      <c r="B44" s="65" t="s">
        <v>77</v>
      </c>
      <c r="C44" s="65" t="s">
        <v>278</v>
      </c>
      <c r="D44" s="65" t="s">
        <v>23</v>
      </c>
      <c r="E44" s="65" t="s">
        <v>24</v>
      </c>
      <c r="F44" s="69"/>
      <c r="G44" s="66">
        <v>34</v>
      </c>
      <c r="H44" s="65" t="s">
        <v>136</v>
      </c>
      <c r="I44" s="65" t="s">
        <v>115</v>
      </c>
      <c r="J44" s="65"/>
      <c r="K44" s="67">
        <v>46202</v>
      </c>
      <c r="L44" s="67">
        <v>46567</v>
      </c>
      <c r="M44" s="66">
        <v>288</v>
      </c>
      <c r="N44" s="65" t="s">
        <v>57</v>
      </c>
      <c r="O44" s="65" t="s">
        <v>291</v>
      </c>
      <c r="P44" s="66">
        <v>73</v>
      </c>
      <c r="Q44" s="66">
        <v>73</v>
      </c>
      <c r="R44" s="66">
        <v>0</v>
      </c>
      <c r="S44" s="65" t="s">
        <v>34</v>
      </c>
      <c r="T44" s="65" t="s">
        <v>26</v>
      </c>
      <c r="U44" s="68">
        <v>3120</v>
      </c>
      <c r="V44" s="68">
        <v>227760</v>
      </c>
      <c r="W44" s="65" t="s">
        <v>28</v>
      </c>
      <c r="X44" s="65" t="s">
        <v>57</v>
      </c>
      <c r="Y44" s="69"/>
      <c r="Z44" s="69"/>
      <c r="AA44" s="67">
        <v>46279</v>
      </c>
      <c r="AB44" s="65" t="s">
        <v>70</v>
      </c>
    </row>
    <row r="45" spans="1:28">
      <c r="A45" s="65" t="s">
        <v>334</v>
      </c>
      <c r="B45" s="65" t="s">
        <v>77</v>
      </c>
      <c r="C45" s="65" t="s">
        <v>278</v>
      </c>
      <c r="D45" s="65" t="s">
        <v>23</v>
      </c>
      <c r="E45" s="65" t="s">
        <v>24</v>
      </c>
      <c r="F45" s="69"/>
      <c r="G45" s="66">
        <v>35</v>
      </c>
      <c r="H45" s="65" t="s">
        <v>137</v>
      </c>
      <c r="I45" s="65" t="s">
        <v>159</v>
      </c>
      <c r="J45" s="65"/>
      <c r="K45" s="67">
        <v>45722</v>
      </c>
      <c r="L45" s="67">
        <v>46567</v>
      </c>
      <c r="M45" s="66">
        <v>288</v>
      </c>
      <c r="N45" s="65" t="s">
        <v>57</v>
      </c>
      <c r="O45" s="65" t="s">
        <v>291</v>
      </c>
      <c r="P45" s="66">
        <v>73</v>
      </c>
      <c r="Q45" s="66">
        <v>73</v>
      </c>
      <c r="R45" s="66">
        <v>0</v>
      </c>
      <c r="S45" s="65" t="s">
        <v>34</v>
      </c>
      <c r="T45" s="65" t="s">
        <v>26</v>
      </c>
      <c r="U45" s="68">
        <v>3120</v>
      </c>
      <c r="V45" s="68">
        <v>227760</v>
      </c>
      <c r="W45" s="65" t="s">
        <v>28</v>
      </c>
      <c r="X45" s="65" t="s">
        <v>57</v>
      </c>
      <c r="Y45" s="69"/>
      <c r="Z45" s="69"/>
      <c r="AA45" s="67">
        <v>46279</v>
      </c>
      <c r="AB45" s="65" t="s">
        <v>70</v>
      </c>
    </row>
    <row r="46" spans="1:28">
      <c r="A46" s="65" t="s">
        <v>335</v>
      </c>
      <c r="B46" s="65" t="s">
        <v>77</v>
      </c>
      <c r="C46" s="65" t="s">
        <v>278</v>
      </c>
      <c r="D46" s="65" t="s">
        <v>23</v>
      </c>
      <c r="E46" s="65" t="s">
        <v>24</v>
      </c>
      <c r="F46" s="69"/>
      <c r="G46" s="66">
        <v>36</v>
      </c>
      <c r="H46" s="65" t="s">
        <v>138</v>
      </c>
      <c r="I46" s="65" t="s">
        <v>160</v>
      </c>
      <c r="J46" s="65"/>
      <c r="K46" s="67">
        <v>44767</v>
      </c>
      <c r="L46" s="67">
        <v>46567</v>
      </c>
      <c r="M46" s="66">
        <v>288</v>
      </c>
      <c r="N46" s="65" t="s">
        <v>57</v>
      </c>
      <c r="O46" s="65" t="s">
        <v>291</v>
      </c>
      <c r="P46" s="66">
        <v>73</v>
      </c>
      <c r="Q46" s="66">
        <v>73</v>
      </c>
      <c r="R46" s="66">
        <v>0</v>
      </c>
      <c r="S46" s="65" t="s">
        <v>34</v>
      </c>
      <c r="T46" s="65" t="s">
        <v>26</v>
      </c>
      <c r="U46" s="68">
        <v>3120</v>
      </c>
      <c r="V46" s="68">
        <v>227760</v>
      </c>
      <c r="W46" s="65" t="s">
        <v>28</v>
      </c>
      <c r="X46" s="65" t="s">
        <v>57</v>
      </c>
      <c r="Y46" s="69"/>
      <c r="Z46" s="69"/>
      <c r="AA46" s="67">
        <v>46279</v>
      </c>
      <c r="AB46" s="65" t="s">
        <v>70</v>
      </c>
    </row>
    <row r="47" spans="1:28">
      <c r="A47" s="65" t="s">
        <v>336</v>
      </c>
      <c r="B47" s="65" t="s">
        <v>77</v>
      </c>
      <c r="C47" s="65" t="s">
        <v>278</v>
      </c>
      <c r="D47" s="65" t="s">
        <v>23</v>
      </c>
      <c r="E47" s="65" t="s">
        <v>24</v>
      </c>
      <c r="F47" s="69"/>
      <c r="G47" s="66">
        <v>37</v>
      </c>
      <c r="H47" s="65" t="s">
        <v>195</v>
      </c>
      <c r="I47" s="65" t="s">
        <v>238</v>
      </c>
      <c r="J47" s="65"/>
      <c r="K47" s="67">
        <v>45722</v>
      </c>
      <c r="L47" s="67">
        <v>46567</v>
      </c>
      <c r="M47" s="66">
        <v>288</v>
      </c>
      <c r="N47" s="65" t="s">
        <v>57</v>
      </c>
      <c r="O47" s="65" t="s">
        <v>291</v>
      </c>
      <c r="P47" s="66">
        <v>73</v>
      </c>
      <c r="Q47" s="66">
        <v>73</v>
      </c>
      <c r="R47" s="66">
        <v>0</v>
      </c>
      <c r="S47" s="65" t="s">
        <v>34</v>
      </c>
      <c r="T47" s="65" t="s">
        <v>26</v>
      </c>
      <c r="U47" s="68">
        <v>3120</v>
      </c>
      <c r="V47" s="68">
        <v>227760</v>
      </c>
      <c r="W47" s="65" t="s">
        <v>28</v>
      </c>
      <c r="X47" s="65" t="s">
        <v>57</v>
      </c>
      <c r="Y47" s="69"/>
      <c r="Z47" s="69"/>
      <c r="AA47" s="67">
        <v>46279</v>
      </c>
      <c r="AB47" s="65" t="s">
        <v>70</v>
      </c>
    </row>
    <row r="48" spans="1:28">
      <c r="A48" s="65" t="s">
        <v>337</v>
      </c>
      <c r="B48" s="65" t="s">
        <v>77</v>
      </c>
      <c r="C48" s="65" t="s">
        <v>278</v>
      </c>
      <c r="D48" s="65" t="s">
        <v>23</v>
      </c>
      <c r="E48" s="65" t="s">
        <v>24</v>
      </c>
      <c r="F48" s="69"/>
      <c r="G48" s="66">
        <v>38</v>
      </c>
      <c r="H48" s="65" t="s">
        <v>196</v>
      </c>
      <c r="I48" s="65" t="s">
        <v>239</v>
      </c>
      <c r="J48" s="65"/>
      <c r="K48" s="67">
        <v>45722</v>
      </c>
      <c r="L48" s="67">
        <v>46567</v>
      </c>
      <c r="M48" s="66">
        <v>288</v>
      </c>
      <c r="N48" s="65" t="s">
        <v>57</v>
      </c>
      <c r="O48" s="65" t="s">
        <v>291</v>
      </c>
      <c r="P48" s="66">
        <v>73</v>
      </c>
      <c r="Q48" s="66">
        <v>73</v>
      </c>
      <c r="R48" s="66">
        <v>0</v>
      </c>
      <c r="S48" s="65" t="s">
        <v>34</v>
      </c>
      <c r="T48" s="65" t="s">
        <v>26</v>
      </c>
      <c r="U48" s="68">
        <v>3120</v>
      </c>
      <c r="V48" s="68">
        <v>227760</v>
      </c>
      <c r="W48" s="65" t="s">
        <v>28</v>
      </c>
      <c r="X48" s="65" t="s">
        <v>57</v>
      </c>
      <c r="Y48" s="69"/>
      <c r="Z48" s="69"/>
      <c r="AA48" s="67">
        <v>46279</v>
      </c>
      <c r="AB48" s="65" t="s">
        <v>70</v>
      </c>
    </row>
    <row r="49" spans="1:28">
      <c r="A49" s="65" t="s">
        <v>338</v>
      </c>
      <c r="B49" s="65" t="s">
        <v>77</v>
      </c>
      <c r="C49" s="65" t="s">
        <v>278</v>
      </c>
      <c r="D49" s="65" t="s">
        <v>23</v>
      </c>
      <c r="E49" s="65" t="s">
        <v>24</v>
      </c>
      <c r="F49" s="69"/>
      <c r="G49" s="66">
        <v>39</v>
      </c>
      <c r="H49" s="65" t="s">
        <v>197</v>
      </c>
      <c r="I49" s="65" t="s">
        <v>240</v>
      </c>
      <c r="J49" s="65"/>
      <c r="K49" s="67">
        <v>45839</v>
      </c>
      <c r="L49" s="67">
        <v>46567</v>
      </c>
      <c r="M49" s="66">
        <v>288</v>
      </c>
      <c r="N49" s="65" t="s">
        <v>57</v>
      </c>
      <c r="O49" s="65" t="s">
        <v>291</v>
      </c>
      <c r="P49" s="66">
        <v>73</v>
      </c>
      <c r="Q49" s="66">
        <v>73</v>
      </c>
      <c r="R49" s="66">
        <v>0</v>
      </c>
      <c r="S49" s="65" t="s">
        <v>34</v>
      </c>
      <c r="T49" s="65" t="s">
        <v>26</v>
      </c>
      <c r="U49" s="68">
        <v>3120</v>
      </c>
      <c r="V49" s="68">
        <v>227760</v>
      </c>
      <c r="W49" s="65" t="s">
        <v>28</v>
      </c>
      <c r="X49" s="65" t="s">
        <v>57</v>
      </c>
      <c r="Y49" s="69"/>
      <c r="Z49" s="69"/>
      <c r="AA49" s="67">
        <v>46279</v>
      </c>
      <c r="AB49" s="65" t="s">
        <v>70</v>
      </c>
    </row>
    <row r="50" spans="1:28">
      <c r="A50" s="65" t="s">
        <v>339</v>
      </c>
      <c r="B50" s="65" t="s">
        <v>77</v>
      </c>
      <c r="C50" s="65" t="s">
        <v>278</v>
      </c>
      <c r="D50" s="65" t="s">
        <v>23</v>
      </c>
      <c r="E50" s="65" t="s">
        <v>24</v>
      </c>
      <c r="F50" s="69"/>
      <c r="G50" s="66">
        <v>40</v>
      </c>
      <c r="H50" s="65" t="s">
        <v>139</v>
      </c>
      <c r="I50" s="65" t="s">
        <v>161</v>
      </c>
      <c r="J50" s="65"/>
      <c r="K50" s="67">
        <v>45722</v>
      </c>
      <c r="L50" s="67">
        <v>46567</v>
      </c>
      <c r="M50" s="66">
        <v>288</v>
      </c>
      <c r="N50" s="65" t="s">
        <v>57</v>
      </c>
      <c r="O50" s="65" t="s">
        <v>291</v>
      </c>
      <c r="P50" s="66">
        <v>73</v>
      </c>
      <c r="Q50" s="66">
        <v>73</v>
      </c>
      <c r="R50" s="66">
        <v>0</v>
      </c>
      <c r="S50" s="65" t="s">
        <v>34</v>
      </c>
      <c r="T50" s="65" t="s">
        <v>26</v>
      </c>
      <c r="U50" s="68">
        <v>3120</v>
      </c>
      <c r="V50" s="68">
        <v>227760</v>
      </c>
      <c r="W50" s="65" t="s">
        <v>28</v>
      </c>
      <c r="X50" s="65" t="s">
        <v>57</v>
      </c>
      <c r="Y50" s="69"/>
      <c r="Z50" s="69"/>
      <c r="AA50" s="67">
        <v>46279</v>
      </c>
      <c r="AB50" s="65" t="s">
        <v>70</v>
      </c>
    </row>
    <row r="51" spans="1:28">
      <c r="A51" s="65" t="s">
        <v>340</v>
      </c>
      <c r="B51" s="65" t="s">
        <v>77</v>
      </c>
      <c r="C51" s="65" t="s">
        <v>278</v>
      </c>
      <c r="D51" s="65" t="s">
        <v>23</v>
      </c>
      <c r="E51" s="65" t="s">
        <v>24</v>
      </c>
      <c r="F51" s="69"/>
      <c r="G51" s="66">
        <v>41</v>
      </c>
      <c r="H51" s="65" t="s">
        <v>198</v>
      </c>
      <c r="I51" s="65" t="s">
        <v>241</v>
      </c>
      <c r="J51" s="65"/>
      <c r="K51" s="67">
        <v>45722</v>
      </c>
      <c r="L51" s="67">
        <v>46567</v>
      </c>
      <c r="M51" s="66">
        <v>288</v>
      </c>
      <c r="N51" s="65" t="s">
        <v>57</v>
      </c>
      <c r="O51" s="65" t="s">
        <v>291</v>
      </c>
      <c r="P51" s="66">
        <v>73</v>
      </c>
      <c r="Q51" s="66">
        <v>73</v>
      </c>
      <c r="R51" s="66">
        <v>0</v>
      </c>
      <c r="S51" s="65" t="s">
        <v>34</v>
      </c>
      <c r="T51" s="65" t="s">
        <v>26</v>
      </c>
      <c r="U51" s="68">
        <v>3120</v>
      </c>
      <c r="V51" s="68">
        <v>227760</v>
      </c>
      <c r="W51" s="65" t="s">
        <v>28</v>
      </c>
      <c r="X51" s="65" t="s">
        <v>57</v>
      </c>
      <c r="Y51" s="69"/>
      <c r="Z51" s="69"/>
      <c r="AA51" s="67">
        <v>46279</v>
      </c>
      <c r="AB51" s="65" t="s">
        <v>70</v>
      </c>
    </row>
    <row r="52" spans="1:28">
      <c r="A52" s="65" t="s">
        <v>341</v>
      </c>
      <c r="B52" s="65" t="s">
        <v>77</v>
      </c>
      <c r="C52" s="65" t="s">
        <v>278</v>
      </c>
      <c r="D52" s="65" t="s">
        <v>23</v>
      </c>
      <c r="E52" s="65" t="s">
        <v>24</v>
      </c>
      <c r="F52" s="69"/>
      <c r="G52" s="66">
        <v>42</v>
      </c>
      <c r="H52" s="65" t="s">
        <v>199</v>
      </c>
      <c r="I52" s="65" t="s">
        <v>242</v>
      </c>
      <c r="J52" s="65"/>
      <c r="K52" s="67">
        <v>45839</v>
      </c>
      <c r="L52" s="67">
        <v>46567</v>
      </c>
      <c r="M52" s="66">
        <v>288</v>
      </c>
      <c r="N52" s="65" t="s">
        <v>57</v>
      </c>
      <c r="O52" s="65" t="s">
        <v>291</v>
      </c>
      <c r="P52" s="66">
        <v>73</v>
      </c>
      <c r="Q52" s="66">
        <v>73</v>
      </c>
      <c r="R52" s="66">
        <v>0</v>
      </c>
      <c r="S52" s="65" t="s">
        <v>34</v>
      </c>
      <c r="T52" s="65" t="s">
        <v>26</v>
      </c>
      <c r="U52" s="68">
        <v>3120</v>
      </c>
      <c r="V52" s="68">
        <v>227760</v>
      </c>
      <c r="W52" s="65" t="s">
        <v>28</v>
      </c>
      <c r="X52" s="65" t="s">
        <v>57</v>
      </c>
      <c r="Y52" s="69"/>
      <c r="Z52" s="69"/>
      <c r="AA52" s="67">
        <v>46279</v>
      </c>
      <c r="AB52" s="65" t="s">
        <v>70</v>
      </c>
    </row>
    <row r="53" spans="1:28">
      <c r="A53" s="65" t="s">
        <v>342</v>
      </c>
      <c r="B53" s="65" t="s">
        <v>77</v>
      </c>
      <c r="C53" s="65" t="s">
        <v>278</v>
      </c>
      <c r="D53" s="65" t="s">
        <v>23</v>
      </c>
      <c r="E53" s="65" t="s">
        <v>24</v>
      </c>
      <c r="F53" s="69"/>
      <c r="G53" s="66">
        <v>43</v>
      </c>
      <c r="H53" s="65" t="s">
        <v>140</v>
      </c>
      <c r="I53" s="65" t="s">
        <v>162</v>
      </c>
      <c r="J53" s="65"/>
      <c r="K53" s="67">
        <v>45722</v>
      </c>
      <c r="L53" s="67">
        <v>46567</v>
      </c>
      <c r="M53" s="66">
        <v>288</v>
      </c>
      <c r="N53" s="65" t="s">
        <v>57</v>
      </c>
      <c r="O53" s="65" t="s">
        <v>291</v>
      </c>
      <c r="P53" s="66">
        <v>73</v>
      </c>
      <c r="Q53" s="66">
        <v>73</v>
      </c>
      <c r="R53" s="66">
        <v>0</v>
      </c>
      <c r="S53" s="65" t="s">
        <v>34</v>
      </c>
      <c r="T53" s="65" t="s">
        <v>26</v>
      </c>
      <c r="U53" s="68">
        <v>3120</v>
      </c>
      <c r="V53" s="68">
        <v>227760</v>
      </c>
      <c r="W53" s="65" t="s">
        <v>28</v>
      </c>
      <c r="X53" s="65" t="s">
        <v>57</v>
      </c>
      <c r="Y53" s="69"/>
      <c r="Z53" s="69"/>
      <c r="AA53" s="67">
        <v>46279</v>
      </c>
      <c r="AB53" s="65" t="s">
        <v>70</v>
      </c>
    </row>
    <row r="54" spans="1:28">
      <c r="A54" s="65" t="s">
        <v>343</v>
      </c>
      <c r="B54" s="65" t="s">
        <v>77</v>
      </c>
      <c r="C54" s="65" t="s">
        <v>278</v>
      </c>
      <c r="D54" s="65" t="s">
        <v>23</v>
      </c>
      <c r="E54" s="65" t="s">
        <v>24</v>
      </c>
      <c r="F54" s="69"/>
      <c r="G54" s="66">
        <v>44</v>
      </c>
      <c r="H54" s="65" t="s">
        <v>200</v>
      </c>
      <c r="I54" s="65" t="s">
        <v>243</v>
      </c>
      <c r="J54" s="65"/>
      <c r="K54" s="67">
        <v>45722</v>
      </c>
      <c r="L54" s="67">
        <v>46567</v>
      </c>
      <c r="M54" s="66">
        <v>288</v>
      </c>
      <c r="N54" s="65" t="s">
        <v>57</v>
      </c>
      <c r="O54" s="65" t="s">
        <v>291</v>
      </c>
      <c r="P54" s="66">
        <v>73</v>
      </c>
      <c r="Q54" s="66">
        <v>73</v>
      </c>
      <c r="R54" s="66">
        <v>0</v>
      </c>
      <c r="S54" s="65" t="s">
        <v>34</v>
      </c>
      <c r="T54" s="65" t="s">
        <v>26</v>
      </c>
      <c r="U54" s="68">
        <v>3120</v>
      </c>
      <c r="V54" s="68">
        <v>227760</v>
      </c>
      <c r="W54" s="65" t="s">
        <v>28</v>
      </c>
      <c r="X54" s="65" t="s">
        <v>57</v>
      </c>
      <c r="Y54" s="69"/>
      <c r="Z54" s="69"/>
      <c r="AA54" s="67">
        <v>46279</v>
      </c>
      <c r="AB54" s="65" t="s">
        <v>70</v>
      </c>
    </row>
    <row r="55" spans="1:28">
      <c r="A55" s="65" t="s">
        <v>344</v>
      </c>
      <c r="B55" s="65" t="s">
        <v>77</v>
      </c>
      <c r="C55" s="65" t="s">
        <v>278</v>
      </c>
      <c r="D55" s="65" t="s">
        <v>23</v>
      </c>
      <c r="E55" s="65" t="s">
        <v>24</v>
      </c>
      <c r="F55" s="69"/>
      <c r="G55" s="66">
        <v>45</v>
      </c>
      <c r="H55" s="65" t="s">
        <v>201</v>
      </c>
      <c r="I55" s="65" t="s">
        <v>244</v>
      </c>
      <c r="J55" s="65"/>
      <c r="K55" s="67">
        <v>45722</v>
      </c>
      <c r="L55" s="67">
        <v>46567</v>
      </c>
      <c r="M55" s="66">
        <v>288</v>
      </c>
      <c r="N55" s="65" t="s">
        <v>57</v>
      </c>
      <c r="O55" s="65" t="s">
        <v>291</v>
      </c>
      <c r="P55" s="66">
        <v>73</v>
      </c>
      <c r="Q55" s="66">
        <v>73</v>
      </c>
      <c r="R55" s="66">
        <v>0</v>
      </c>
      <c r="S55" s="65" t="s">
        <v>34</v>
      </c>
      <c r="T55" s="65" t="s">
        <v>26</v>
      </c>
      <c r="U55" s="68">
        <v>3120</v>
      </c>
      <c r="V55" s="68">
        <v>227760</v>
      </c>
      <c r="W55" s="65" t="s">
        <v>28</v>
      </c>
      <c r="X55" s="65" t="s">
        <v>57</v>
      </c>
      <c r="Y55" s="69"/>
      <c r="Z55" s="69"/>
      <c r="AA55" s="67">
        <v>46279</v>
      </c>
      <c r="AB55" s="65" t="s">
        <v>70</v>
      </c>
    </row>
    <row r="56" spans="1:28">
      <c r="A56" s="65" t="s">
        <v>345</v>
      </c>
      <c r="B56" s="65" t="s">
        <v>77</v>
      </c>
      <c r="C56" s="65" t="s">
        <v>278</v>
      </c>
      <c r="D56" s="65" t="s">
        <v>23</v>
      </c>
      <c r="E56" s="65" t="s">
        <v>24</v>
      </c>
      <c r="F56" s="69"/>
      <c r="G56" s="66">
        <v>46</v>
      </c>
      <c r="H56" s="65" t="s">
        <v>202</v>
      </c>
      <c r="I56" s="65" t="s">
        <v>245</v>
      </c>
      <c r="J56" s="65"/>
      <c r="K56" s="67">
        <v>45722</v>
      </c>
      <c r="L56" s="67">
        <v>46567</v>
      </c>
      <c r="M56" s="66">
        <v>288</v>
      </c>
      <c r="N56" s="65" t="s">
        <v>57</v>
      </c>
      <c r="O56" s="65" t="s">
        <v>291</v>
      </c>
      <c r="P56" s="66">
        <v>73</v>
      </c>
      <c r="Q56" s="66">
        <v>73</v>
      </c>
      <c r="R56" s="66">
        <v>0</v>
      </c>
      <c r="S56" s="65" t="s">
        <v>34</v>
      </c>
      <c r="T56" s="65" t="s">
        <v>26</v>
      </c>
      <c r="U56" s="68">
        <v>3120</v>
      </c>
      <c r="V56" s="68">
        <v>227760</v>
      </c>
      <c r="W56" s="65" t="s">
        <v>28</v>
      </c>
      <c r="X56" s="65" t="s">
        <v>57</v>
      </c>
      <c r="Y56" s="69"/>
      <c r="Z56" s="69"/>
      <c r="AA56" s="67">
        <v>46279</v>
      </c>
      <c r="AB56" s="65" t="s">
        <v>70</v>
      </c>
    </row>
    <row r="57" spans="1:28">
      <c r="A57" s="65" t="s">
        <v>346</v>
      </c>
      <c r="B57" s="65" t="s">
        <v>77</v>
      </c>
      <c r="C57" s="65" t="s">
        <v>278</v>
      </c>
      <c r="D57" s="65" t="s">
        <v>23</v>
      </c>
      <c r="E57" s="65" t="s">
        <v>24</v>
      </c>
      <c r="F57" s="69"/>
      <c r="G57" s="66">
        <v>47</v>
      </c>
      <c r="H57" s="65" t="s">
        <v>203</v>
      </c>
      <c r="I57" s="65" t="s">
        <v>246</v>
      </c>
      <c r="J57" s="65"/>
      <c r="K57" s="67">
        <v>45722</v>
      </c>
      <c r="L57" s="67">
        <v>46567</v>
      </c>
      <c r="M57" s="66">
        <v>288</v>
      </c>
      <c r="N57" s="65" t="s">
        <v>57</v>
      </c>
      <c r="O57" s="65" t="s">
        <v>291</v>
      </c>
      <c r="P57" s="66">
        <v>73</v>
      </c>
      <c r="Q57" s="66">
        <v>73</v>
      </c>
      <c r="R57" s="66">
        <v>0</v>
      </c>
      <c r="S57" s="65" t="s">
        <v>34</v>
      </c>
      <c r="T57" s="65" t="s">
        <v>26</v>
      </c>
      <c r="U57" s="68">
        <v>3120</v>
      </c>
      <c r="V57" s="68">
        <v>227760</v>
      </c>
      <c r="W57" s="65" t="s">
        <v>28</v>
      </c>
      <c r="X57" s="65" t="s">
        <v>57</v>
      </c>
      <c r="Y57" s="69"/>
      <c r="Z57" s="69"/>
      <c r="AA57" s="67">
        <v>46279</v>
      </c>
      <c r="AB57" s="65" t="s">
        <v>70</v>
      </c>
    </row>
    <row r="58" spans="1:28">
      <c r="A58" s="65" t="s">
        <v>347</v>
      </c>
      <c r="B58" s="65" t="s">
        <v>77</v>
      </c>
      <c r="C58" s="65" t="s">
        <v>278</v>
      </c>
      <c r="D58" s="65" t="s">
        <v>23</v>
      </c>
      <c r="E58" s="65" t="s">
        <v>24</v>
      </c>
      <c r="F58" s="69"/>
      <c r="G58" s="66">
        <v>48</v>
      </c>
      <c r="H58" s="65" t="s">
        <v>204</v>
      </c>
      <c r="I58" s="65" t="s">
        <v>247</v>
      </c>
      <c r="J58" s="65"/>
      <c r="K58" s="67">
        <v>46097</v>
      </c>
      <c r="L58" s="67">
        <v>46567</v>
      </c>
      <c r="M58" s="66">
        <v>288</v>
      </c>
      <c r="N58" s="65" t="s">
        <v>57</v>
      </c>
      <c r="O58" s="65" t="s">
        <v>291</v>
      </c>
      <c r="P58" s="66">
        <v>73</v>
      </c>
      <c r="Q58" s="66">
        <v>73</v>
      </c>
      <c r="R58" s="66">
        <v>0</v>
      </c>
      <c r="S58" s="65" t="s">
        <v>34</v>
      </c>
      <c r="T58" s="65" t="s">
        <v>26</v>
      </c>
      <c r="U58" s="68">
        <v>3120</v>
      </c>
      <c r="V58" s="68">
        <v>227760</v>
      </c>
      <c r="W58" s="65" t="s">
        <v>28</v>
      </c>
      <c r="X58" s="65" t="s">
        <v>57</v>
      </c>
      <c r="Y58" s="69"/>
      <c r="Z58" s="69"/>
      <c r="AA58" s="67">
        <v>46279</v>
      </c>
      <c r="AB58" s="65" t="s">
        <v>70</v>
      </c>
    </row>
    <row r="59" spans="1:28">
      <c r="A59" s="65" t="s">
        <v>348</v>
      </c>
      <c r="B59" s="65" t="s">
        <v>77</v>
      </c>
      <c r="C59" s="65" t="s">
        <v>278</v>
      </c>
      <c r="D59" s="65" t="s">
        <v>23</v>
      </c>
      <c r="E59" s="65" t="s">
        <v>24</v>
      </c>
      <c r="F59" s="69"/>
      <c r="G59" s="66">
        <v>49</v>
      </c>
      <c r="H59" s="65" t="s">
        <v>205</v>
      </c>
      <c r="I59" s="65" t="s">
        <v>116</v>
      </c>
      <c r="J59" s="65"/>
      <c r="K59" s="67">
        <v>46038</v>
      </c>
      <c r="L59" s="67">
        <v>46567</v>
      </c>
      <c r="M59" s="66">
        <v>288</v>
      </c>
      <c r="N59" s="65" t="s">
        <v>57</v>
      </c>
      <c r="O59" s="65" t="s">
        <v>291</v>
      </c>
      <c r="P59" s="66">
        <v>73</v>
      </c>
      <c r="Q59" s="66">
        <v>73</v>
      </c>
      <c r="R59" s="66">
        <v>0</v>
      </c>
      <c r="S59" s="65" t="s">
        <v>34</v>
      </c>
      <c r="T59" s="65" t="s">
        <v>26</v>
      </c>
      <c r="U59" s="68">
        <v>3120</v>
      </c>
      <c r="V59" s="68">
        <v>227760</v>
      </c>
      <c r="W59" s="65" t="s">
        <v>28</v>
      </c>
      <c r="X59" s="65" t="s">
        <v>57</v>
      </c>
      <c r="Y59" s="69"/>
      <c r="Z59" s="69"/>
      <c r="AA59" s="67">
        <v>46279</v>
      </c>
      <c r="AB59" s="65" t="s">
        <v>70</v>
      </c>
    </row>
    <row r="60" spans="1:28">
      <c r="A60" s="65" t="s">
        <v>349</v>
      </c>
      <c r="B60" s="65" t="s">
        <v>77</v>
      </c>
      <c r="C60" s="65" t="s">
        <v>278</v>
      </c>
      <c r="D60" s="65" t="s">
        <v>23</v>
      </c>
      <c r="E60" s="65" t="s">
        <v>24</v>
      </c>
      <c r="F60" s="69"/>
      <c r="G60" s="66">
        <v>50</v>
      </c>
      <c r="H60" s="65" t="s">
        <v>141</v>
      </c>
      <c r="I60" s="65" t="s">
        <v>163</v>
      </c>
      <c r="J60" s="65"/>
      <c r="K60" s="67">
        <v>44767</v>
      </c>
      <c r="L60" s="67">
        <v>46567</v>
      </c>
      <c r="M60" s="66">
        <v>288</v>
      </c>
      <c r="N60" s="65" t="s">
        <v>57</v>
      </c>
      <c r="O60" s="65" t="s">
        <v>291</v>
      </c>
      <c r="P60" s="66">
        <v>73</v>
      </c>
      <c r="Q60" s="66">
        <v>73</v>
      </c>
      <c r="R60" s="66">
        <v>0</v>
      </c>
      <c r="S60" s="65" t="s">
        <v>34</v>
      </c>
      <c r="T60" s="65" t="s">
        <v>26</v>
      </c>
      <c r="U60" s="68">
        <v>3120</v>
      </c>
      <c r="V60" s="68">
        <v>227760</v>
      </c>
      <c r="W60" s="65" t="s">
        <v>28</v>
      </c>
      <c r="X60" s="65" t="s">
        <v>57</v>
      </c>
      <c r="Y60" s="69"/>
      <c r="Z60" s="69"/>
      <c r="AA60" s="67">
        <v>46279</v>
      </c>
      <c r="AB60" s="65" t="s">
        <v>70</v>
      </c>
    </row>
    <row r="61" spans="1:28">
      <c r="A61" s="65" t="s">
        <v>350</v>
      </c>
      <c r="B61" s="65" t="s">
        <v>77</v>
      </c>
      <c r="C61" s="65" t="s">
        <v>278</v>
      </c>
      <c r="D61" s="65" t="s">
        <v>23</v>
      </c>
      <c r="E61" s="65" t="s">
        <v>24</v>
      </c>
      <c r="F61" s="69"/>
      <c r="G61" s="66">
        <v>51</v>
      </c>
      <c r="H61" s="65" t="s">
        <v>206</v>
      </c>
      <c r="I61" s="65" t="s">
        <v>248</v>
      </c>
      <c r="J61" s="65"/>
      <c r="K61" s="67">
        <v>46020</v>
      </c>
      <c r="L61" s="67">
        <v>46567</v>
      </c>
      <c r="M61" s="66">
        <v>288</v>
      </c>
      <c r="N61" s="65" t="s">
        <v>57</v>
      </c>
      <c r="O61" s="65" t="s">
        <v>291</v>
      </c>
      <c r="P61" s="66">
        <v>73</v>
      </c>
      <c r="Q61" s="66">
        <v>73</v>
      </c>
      <c r="R61" s="66">
        <v>0</v>
      </c>
      <c r="S61" s="65" t="s">
        <v>34</v>
      </c>
      <c r="T61" s="65" t="s">
        <v>26</v>
      </c>
      <c r="U61" s="68">
        <v>3120</v>
      </c>
      <c r="V61" s="68">
        <v>227760</v>
      </c>
      <c r="W61" s="65" t="s">
        <v>28</v>
      </c>
      <c r="X61" s="65" t="s">
        <v>57</v>
      </c>
      <c r="Y61" s="69"/>
      <c r="Z61" s="69"/>
      <c r="AA61" s="67">
        <v>46279</v>
      </c>
      <c r="AB61" s="65" t="s">
        <v>70</v>
      </c>
    </row>
    <row r="62" spans="1:28">
      <c r="A62" s="65" t="s">
        <v>351</v>
      </c>
      <c r="B62" s="65" t="s">
        <v>77</v>
      </c>
      <c r="C62" s="65" t="s">
        <v>278</v>
      </c>
      <c r="D62" s="65" t="s">
        <v>23</v>
      </c>
      <c r="E62" s="65" t="s">
        <v>24</v>
      </c>
      <c r="F62" s="69"/>
      <c r="G62" s="66">
        <v>52</v>
      </c>
      <c r="H62" s="65" t="s">
        <v>171</v>
      </c>
      <c r="I62" s="65" t="s">
        <v>169</v>
      </c>
      <c r="J62" s="65"/>
      <c r="K62" s="67">
        <v>46274</v>
      </c>
      <c r="L62" s="67">
        <v>46567</v>
      </c>
      <c r="M62" s="66">
        <v>288</v>
      </c>
      <c r="N62" s="65" t="s">
        <v>57</v>
      </c>
      <c r="O62" s="65" t="s">
        <v>291</v>
      </c>
      <c r="P62" s="66">
        <v>73</v>
      </c>
      <c r="Q62" s="66">
        <v>73</v>
      </c>
      <c r="R62" s="66">
        <v>0</v>
      </c>
      <c r="S62" s="65" t="s">
        <v>34</v>
      </c>
      <c r="T62" s="65" t="s">
        <v>26</v>
      </c>
      <c r="U62" s="68">
        <v>3120</v>
      </c>
      <c r="V62" s="68">
        <v>227760</v>
      </c>
      <c r="W62" s="65" t="s">
        <v>28</v>
      </c>
      <c r="X62" s="65" t="s">
        <v>57</v>
      </c>
      <c r="Y62" s="69"/>
      <c r="Z62" s="69"/>
      <c r="AA62" s="67">
        <v>46279</v>
      </c>
      <c r="AB62" s="65" t="s">
        <v>70</v>
      </c>
    </row>
    <row r="63" spans="1:28">
      <c r="A63" s="65" t="s">
        <v>352</v>
      </c>
      <c r="B63" s="65" t="s">
        <v>77</v>
      </c>
      <c r="C63" s="65" t="s">
        <v>278</v>
      </c>
      <c r="D63" s="65" t="s">
        <v>23</v>
      </c>
      <c r="E63" s="65" t="s">
        <v>24</v>
      </c>
      <c r="F63" s="69"/>
      <c r="G63" s="66">
        <v>53</v>
      </c>
      <c r="H63" s="65" t="s">
        <v>172</v>
      </c>
      <c r="I63" s="65" t="s">
        <v>170</v>
      </c>
      <c r="J63" s="65"/>
      <c r="K63" s="67">
        <v>46274</v>
      </c>
      <c r="L63" s="67">
        <v>46567</v>
      </c>
      <c r="M63" s="66">
        <v>288</v>
      </c>
      <c r="N63" s="65" t="s">
        <v>57</v>
      </c>
      <c r="O63" s="65" t="s">
        <v>291</v>
      </c>
      <c r="P63" s="66">
        <v>73</v>
      </c>
      <c r="Q63" s="66">
        <v>73</v>
      </c>
      <c r="R63" s="66">
        <v>0</v>
      </c>
      <c r="S63" s="65" t="s">
        <v>34</v>
      </c>
      <c r="T63" s="65" t="s">
        <v>26</v>
      </c>
      <c r="U63" s="68">
        <v>3120</v>
      </c>
      <c r="V63" s="68">
        <v>227760</v>
      </c>
      <c r="W63" s="65" t="s">
        <v>28</v>
      </c>
      <c r="X63" s="65" t="s">
        <v>57</v>
      </c>
      <c r="Y63" s="69"/>
      <c r="Z63" s="69"/>
      <c r="AA63" s="67">
        <v>46279</v>
      </c>
      <c r="AB63" s="65" t="s">
        <v>70</v>
      </c>
    </row>
    <row r="64" spans="1:28">
      <c r="A64" s="65" t="s">
        <v>353</v>
      </c>
      <c r="B64" s="65" t="s">
        <v>77</v>
      </c>
      <c r="C64" s="65" t="s">
        <v>278</v>
      </c>
      <c r="D64" s="65" t="s">
        <v>23</v>
      </c>
      <c r="E64" s="65" t="s">
        <v>24</v>
      </c>
      <c r="F64" s="69"/>
      <c r="G64" s="66">
        <v>54</v>
      </c>
      <c r="H64" s="65" t="s">
        <v>207</v>
      </c>
      <c r="I64" s="65" t="s">
        <v>249</v>
      </c>
      <c r="J64" s="65"/>
      <c r="K64" s="67">
        <v>45722</v>
      </c>
      <c r="L64" s="67">
        <v>46567</v>
      </c>
      <c r="M64" s="66">
        <v>288</v>
      </c>
      <c r="N64" s="65" t="s">
        <v>57</v>
      </c>
      <c r="O64" s="65" t="s">
        <v>291</v>
      </c>
      <c r="P64" s="66">
        <v>73</v>
      </c>
      <c r="Q64" s="66">
        <v>73</v>
      </c>
      <c r="R64" s="66">
        <v>0</v>
      </c>
      <c r="S64" s="65" t="s">
        <v>34</v>
      </c>
      <c r="T64" s="65" t="s">
        <v>26</v>
      </c>
      <c r="U64" s="68">
        <v>3120</v>
      </c>
      <c r="V64" s="68">
        <v>227760</v>
      </c>
      <c r="W64" s="65" t="s">
        <v>28</v>
      </c>
      <c r="X64" s="65" t="s">
        <v>57</v>
      </c>
      <c r="Y64" s="69"/>
      <c r="Z64" s="69"/>
      <c r="AA64" s="67">
        <v>46279</v>
      </c>
      <c r="AB64" s="65" t="s">
        <v>70</v>
      </c>
    </row>
    <row r="65" spans="1:28">
      <c r="A65" s="65" t="s">
        <v>354</v>
      </c>
      <c r="B65" s="65" t="s">
        <v>77</v>
      </c>
      <c r="C65" s="65" t="s">
        <v>278</v>
      </c>
      <c r="D65" s="65" t="s">
        <v>23</v>
      </c>
      <c r="E65" s="65" t="s">
        <v>24</v>
      </c>
      <c r="F65" s="69"/>
      <c r="G65" s="66">
        <v>55</v>
      </c>
      <c r="H65" s="65" t="s">
        <v>142</v>
      </c>
      <c r="I65" s="65" t="s">
        <v>164</v>
      </c>
      <c r="J65" s="65"/>
      <c r="K65" s="67">
        <v>45722</v>
      </c>
      <c r="L65" s="67">
        <v>46567</v>
      </c>
      <c r="M65" s="66">
        <v>288</v>
      </c>
      <c r="N65" s="65" t="s">
        <v>57</v>
      </c>
      <c r="O65" s="65" t="s">
        <v>291</v>
      </c>
      <c r="P65" s="66">
        <v>73</v>
      </c>
      <c r="Q65" s="66">
        <v>73</v>
      </c>
      <c r="R65" s="66">
        <v>0</v>
      </c>
      <c r="S65" s="65" t="s">
        <v>34</v>
      </c>
      <c r="T65" s="65" t="s">
        <v>26</v>
      </c>
      <c r="U65" s="68">
        <v>3120</v>
      </c>
      <c r="V65" s="68">
        <v>227760</v>
      </c>
      <c r="W65" s="65" t="s">
        <v>28</v>
      </c>
      <c r="X65" s="65" t="s">
        <v>57</v>
      </c>
      <c r="Y65" s="69"/>
      <c r="Z65" s="69"/>
      <c r="AA65" s="67">
        <v>46279</v>
      </c>
      <c r="AB65" s="65" t="s">
        <v>70</v>
      </c>
    </row>
    <row r="66" spans="1:28">
      <c r="A66" s="65" t="s">
        <v>355</v>
      </c>
      <c r="B66" s="65" t="s">
        <v>77</v>
      </c>
      <c r="C66" s="65" t="s">
        <v>278</v>
      </c>
      <c r="D66" s="65" t="s">
        <v>23</v>
      </c>
      <c r="E66" s="65" t="s">
        <v>24</v>
      </c>
      <c r="F66" s="69"/>
      <c r="G66" s="66">
        <v>56</v>
      </c>
      <c r="H66" s="65" t="s">
        <v>208</v>
      </c>
      <c r="I66" s="65" t="s">
        <v>250</v>
      </c>
      <c r="J66" s="65"/>
      <c r="K66" s="67">
        <v>45722</v>
      </c>
      <c r="L66" s="67">
        <v>46567</v>
      </c>
      <c r="M66" s="66">
        <v>288</v>
      </c>
      <c r="N66" s="65" t="s">
        <v>57</v>
      </c>
      <c r="O66" s="65" t="s">
        <v>291</v>
      </c>
      <c r="P66" s="66">
        <v>73</v>
      </c>
      <c r="Q66" s="66">
        <v>73</v>
      </c>
      <c r="R66" s="66">
        <v>0</v>
      </c>
      <c r="S66" s="65" t="s">
        <v>34</v>
      </c>
      <c r="T66" s="65" t="s">
        <v>26</v>
      </c>
      <c r="U66" s="68">
        <v>3120</v>
      </c>
      <c r="V66" s="68">
        <v>227760</v>
      </c>
      <c r="W66" s="65" t="s">
        <v>28</v>
      </c>
      <c r="X66" s="65" t="s">
        <v>57</v>
      </c>
      <c r="Y66" s="69"/>
      <c r="Z66" s="69"/>
      <c r="AA66" s="67">
        <v>46279</v>
      </c>
      <c r="AB66" s="65" t="s">
        <v>70</v>
      </c>
    </row>
    <row r="67" spans="1:28">
      <c r="A67" s="65" t="s">
        <v>356</v>
      </c>
      <c r="B67" s="65" t="s">
        <v>77</v>
      </c>
      <c r="C67" s="65" t="s">
        <v>278</v>
      </c>
      <c r="D67" s="65" t="s">
        <v>23</v>
      </c>
      <c r="E67" s="65" t="s">
        <v>24</v>
      </c>
      <c r="F67" s="69"/>
      <c r="G67" s="66">
        <v>57</v>
      </c>
      <c r="H67" s="65" t="s">
        <v>209</v>
      </c>
      <c r="I67" s="65" t="s">
        <v>251</v>
      </c>
      <c r="J67" s="65"/>
      <c r="K67" s="67">
        <v>45722</v>
      </c>
      <c r="L67" s="67">
        <v>46567</v>
      </c>
      <c r="M67" s="66">
        <v>288</v>
      </c>
      <c r="N67" s="65" t="s">
        <v>57</v>
      </c>
      <c r="O67" s="65" t="s">
        <v>291</v>
      </c>
      <c r="P67" s="66">
        <v>73</v>
      </c>
      <c r="Q67" s="66">
        <v>73</v>
      </c>
      <c r="R67" s="66">
        <v>0</v>
      </c>
      <c r="S67" s="65" t="s">
        <v>34</v>
      </c>
      <c r="T67" s="65" t="s">
        <v>26</v>
      </c>
      <c r="U67" s="68">
        <v>3120</v>
      </c>
      <c r="V67" s="68">
        <v>227760</v>
      </c>
      <c r="W67" s="65" t="s">
        <v>28</v>
      </c>
      <c r="X67" s="65" t="s">
        <v>57</v>
      </c>
      <c r="Y67" s="69"/>
      <c r="Z67" s="69"/>
      <c r="AA67" s="67">
        <v>46279</v>
      </c>
      <c r="AB67" s="65" t="s">
        <v>70</v>
      </c>
    </row>
    <row r="68" spans="1:28">
      <c r="A68" s="65" t="s">
        <v>357</v>
      </c>
      <c r="B68" s="65" t="s">
        <v>77</v>
      </c>
      <c r="C68" s="65" t="s">
        <v>278</v>
      </c>
      <c r="D68" s="65" t="s">
        <v>23</v>
      </c>
      <c r="E68" s="65" t="s">
        <v>24</v>
      </c>
      <c r="F68" s="69"/>
      <c r="G68" s="66">
        <v>58</v>
      </c>
      <c r="H68" s="65" t="s">
        <v>210</v>
      </c>
      <c r="I68" s="65" t="s">
        <v>252</v>
      </c>
      <c r="J68" s="65"/>
      <c r="K68" s="67">
        <v>45722</v>
      </c>
      <c r="L68" s="67">
        <v>46567</v>
      </c>
      <c r="M68" s="66">
        <v>288</v>
      </c>
      <c r="N68" s="65" t="s">
        <v>57</v>
      </c>
      <c r="O68" s="65" t="s">
        <v>291</v>
      </c>
      <c r="P68" s="66">
        <v>73</v>
      </c>
      <c r="Q68" s="66">
        <v>73</v>
      </c>
      <c r="R68" s="66">
        <v>0</v>
      </c>
      <c r="S68" s="65" t="s">
        <v>34</v>
      </c>
      <c r="T68" s="65" t="s">
        <v>26</v>
      </c>
      <c r="U68" s="68">
        <v>3120</v>
      </c>
      <c r="V68" s="68">
        <v>227760</v>
      </c>
      <c r="W68" s="65" t="s">
        <v>28</v>
      </c>
      <c r="X68" s="65" t="s">
        <v>57</v>
      </c>
      <c r="Y68" s="69"/>
      <c r="Z68" s="69"/>
      <c r="AA68" s="67">
        <v>46279</v>
      </c>
      <c r="AB68" s="65" t="s">
        <v>70</v>
      </c>
    </row>
    <row r="69" spans="1:28">
      <c r="A69" s="65" t="s">
        <v>358</v>
      </c>
      <c r="B69" s="65" t="s">
        <v>77</v>
      </c>
      <c r="C69" s="65" t="s">
        <v>278</v>
      </c>
      <c r="D69" s="65" t="s">
        <v>23</v>
      </c>
      <c r="E69" s="65" t="s">
        <v>24</v>
      </c>
      <c r="F69" s="69"/>
      <c r="G69" s="66">
        <v>59</v>
      </c>
      <c r="H69" s="65" t="s">
        <v>211</v>
      </c>
      <c r="I69" s="65" t="s">
        <v>253</v>
      </c>
      <c r="J69" s="65"/>
      <c r="K69" s="67">
        <v>46041</v>
      </c>
      <c r="L69" s="67">
        <v>46567</v>
      </c>
      <c r="M69" s="66">
        <v>288</v>
      </c>
      <c r="N69" s="65" t="s">
        <v>57</v>
      </c>
      <c r="O69" s="65" t="s">
        <v>291</v>
      </c>
      <c r="P69" s="66">
        <v>73</v>
      </c>
      <c r="Q69" s="66">
        <v>73</v>
      </c>
      <c r="R69" s="66">
        <v>0</v>
      </c>
      <c r="S69" s="65" t="s">
        <v>34</v>
      </c>
      <c r="T69" s="65" t="s">
        <v>26</v>
      </c>
      <c r="U69" s="68">
        <v>3120</v>
      </c>
      <c r="V69" s="68">
        <v>227760</v>
      </c>
      <c r="W69" s="65" t="s">
        <v>28</v>
      </c>
      <c r="X69" s="65" t="s">
        <v>57</v>
      </c>
      <c r="Y69" s="69"/>
      <c r="Z69" s="69"/>
      <c r="AA69" s="67">
        <v>46279</v>
      </c>
      <c r="AB69" s="65" t="s">
        <v>70</v>
      </c>
    </row>
    <row r="70" spans="1:28">
      <c r="A70" s="65" t="s">
        <v>359</v>
      </c>
      <c r="B70" s="65" t="s">
        <v>77</v>
      </c>
      <c r="C70" s="65" t="s">
        <v>278</v>
      </c>
      <c r="D70" s="65" t="s">
        <v>23</v>
      </c>
      <c r="E70" s="65" t="s">
        <v>24</v>
      </c>
      <c r="F70" s="69"/>
      <c r="G70" s="66">
        <v>60</v>
      </c>
      <c r="H70" s="65" t="s">
        <v>212</v>
      </c>
      <c r="I70" s="65" t="s">
        <v>254</v>
      </c>
      <c r="J70" s="65"/>
      <c r="K70" s="67">
        <v>45722</v>
      </c>
      <c r="L70" s="67">
        <v>46567</v>
      </c>
      <c r="M70" s="66">
        <v>288</v>
      </c>
      <c r="N70" s="65" t="s">
        <v>57</v>
      </c>
      <c r="O70" s="65" t="s">
        <v>291</v>
      </c>
      <c r="P70" s="66">
        <v>73</v>
      </c>
      <c r="Q70" s="66">
        <v>73</v>
      </c>
      <c r="R70" s="66">
        <v>0</v>
      </c>
      <c r="S70" s="65" t="s">
        <v>34</v>
      </c>
      <c r="T70" s="65" t="s">
        <v>26</v>
      </c>
      <c r="U70" s="68">
        <v>3120</v>
      </c>
      <c r="V70" s="68">
        <v>227760</v>
      </c>
      <c r="W70" s="65" t="s">
        <v>28</v>
      </c>
      <c r="X70" s="65" t="s">
        <v>57</v>
      </c>
      <c r="Y70" s="69"/>
      <c r="Z70" s="69"/>
      <c r="AA70" s="67">
        <v>46279</v>
      </c>
      <c r="AB70" s="65" t="s">
        <v>70</v>
      </c>
    </row>
    <row r="71" spans="1:28">
      <c r="A71" s="65" t="s">
        <v>360</v>
      </c>
      <c r="B71" s="65" t="s">
        <v>77</v>
      </c>
      <c r="C71" s="65" t="s">
        <v>278</v>
      </c>
      <c r="D71" s="65" t="s">
        <v>23</v>
      </c>
      <c r="E71" s="65" t="s">
        <v>24</v>
      </c>
      <c r="F71" s="69"/>
      <c r="G71" s="66">
        <v>61</v>
      </c>
      <c r="H71" s="65" t="s">
        <v>213</v>
      </c>
      <c r="I71" s="65" t="s">
        <v>255</v>
      </c>
      <c r="J71" s="65"/>
      <c r="K71" s="67">
        <v>45722</v>
      </c>
      <c r="L71" s="67">
        <v>46567</v>
      </c>
      <c r="M71" s="66">
        <v>288</v>
      </c>
      <c r="N71" s="65" t="s">
        <v>57</v>
      </c>
      <c r="O71" s="65" t="s">
        <v>291</v>
      </c>
      <c r="P71" s="66">
        <v>73</v>
      </c>
      <c r="Q71" s="66">
        <v>73</v>
      </c>
      <c r="R71" s="66">
        <v>0</v>
      </c>
      <c r="S71" s="65" t="s">
        <v>34</v>
      </c>
      <c r="T71" s="65" t="s">
        <v>26</v>
      </c>
      <c r="U71" s="68">
        <v>3120</v>
      </c>
      <c r="V71" s="68">
        <v>227760</v>
      </c>
      <c r="W71" s="65" t="s">
        <v>28</v>
      </c>
      <c r="X71" s="65" t="s">
        <v>57</v>
      </c>
      <c r="Y71" s="69"/>
      <c r="Z71" s="69"/>
      <c r="AA71" s="67">
        <v>46279</v>
      </c>
      <c r="AB71" s="65" t="s">
        <v>70</v>
      </c>
    </row>
    <row r="72" spans="1:28">
      <c r="A72" s="65" t="s">
        <v>361</v>
      </c>
      <c r="B72" s="65" t="s">
        <v>77</v>
      </c>
      <c r="C72" s="65" t="s">
        <v>278</v>
      </c>
      <c r="D72" s="65" t="s">
        <v>23</v>
      </c>
      <c r="E72" s="65" t="s">
        <v>24</v>
      </c>
      <c r="F72" s="69"/>
      <c r="G72" s="66">
        <v>62</v>
      </c>
      <c r="H72" s="65" t="s">
        <v>214</v>
      </c>
      <c r="I72" s="65" t="s">
        <v>256</v>
      </c>
      <c r="J72" s="65"/>
      <c r="K72" s="67">
        <v>45722</v>
      </c>
      <c r="L72" s="67">
        <v>46567</v>
      </c>
      <c r="M72" s="66">
        <v>288</v>
      </c>
      <c r="N72" s="65" t="s">
        <v>57</v>
      </c>
      <c r="O72" s="65" t="s">
        <v>291</v>
      </c>
      <c r="P72" s="66">
        <v>73</v>
      </c>
      <c r="Q72" s="66">
        <v>73</v>
      </c>
      <c r="R72" s="66">
        <v>0</v>
      </c>
      <c r="S72" s="65" t="s">
        <v>34</v>
      </c>
      <c r="T72" s="65" t="s">
        <v>26</v>
      </c>
      <c r="U72" s="68">
        <v>3120</v>
      </c>
      <c r="V72" s="68">
        <v>227760</v>
      </c>
      <c r="W72" s="65" t="s">
        <v>28</v>
      </c>
      <c r="X72" s="65" t="s">
        <v>57</v>
      </c>
      <c r="Y72" s="69"/>
      <c r="Z72" s="69"/>
      <c r="AA72" s="67">
        <v>46279</v>
      </c>
      <c r="AB72" s="65" t="s">
        <v>70</v>
      </c>
    </row>
    <row r="73" spans="1:28">
      <c r="A73" s="65" t="s">
        <v>362</v>
      </c>
      <c r="B73" s="65" t="s">
        <v>77</v>
      </c>
      <c r="C73" s="65" t="s">
        <v>278</v>
      </c>
      <c r="D73" s="65" t="s">
        <v>23</v>
      </c>
      <c r="E73" s="65" t="s">
        <v>24</v>
      </c>
      <c r="F73" s="69"/>
      <c r="G73" s="66">
        <v>63</v>
      </c>
      <c r="H73" s="65" t="s">
        <v>215</v>
      </c>
      <c r="I73" s="65" t="s">
        <v>257</v>
      </c>
      <c r="J73" s="65"/>
      <c r="K73" s="67">
        <v>45982</v>
      </c>
      <c r="L73" s="67">
        <v>46567</v>
      </c>
      <c r="M73" s="66">
        <v>288</v>
      </c>
      <c r="N73" s="65" t="s">
        <v>57</v>
      </c>
      <c r="O73" s="65" t="s">
        <v>291</v>
      </c>
      <c r="P73" s="66">
        <v>73</v>
      </c>
      <c r="Q73" s="66">
        <v>73</v>
      </c>
      <c r="R73" s="66">
        <v>0</v>
      </c>
      <c r="S73" s="65" t="s">
        <v>34</v>
      </c>
      <c r="T73" s="65" t="s">
        <v>26</v>
      </c>
      <c r="U73" s="68">
        <v>3120</v>
      </c>
      <c r="V73" s="68">
        <v>227760</v>
      </c>
      <c r="W73" s="65" t="s">
        <v>28</v>
      </c>
      <c r="X73" s="65" t="s">
        <v>57</v>
      </c>
      <c r="Y73" s="69"/>
      <c r="Z73" s="69"/>
      <c r="AA73" s="67">
        <v>46279</v>
      </c>
      <c r="AB73" s="65" t="s">
        <v>70</v>
      </c>
    </row>
    <row r="74" spans="1:28">
      <c r="A74" s="65" t="s">
        <v>363</v>
      </c>
      <c r="B74" s="65" t="s">
        <v>77</v>
      </c>
      <c r="C74" s="65" t="s">
        <v>278</v>
      </c>
      <c r="D74" s="65" t="s">
        <v>23</v>
      </c>
      <c r="E74" s="65" t="s">
        <v>24</v>
      </c>
      <c r="F74" s="69"/>
      <c r="G74" s="66">
        <v>64</v>
      </c>
      <c r="H74" s="65" t="s">
        <v>143</v>
      </c>
      <c r="I74" s="65" t="s">
        <v>165</v>
      </c>
      <c r="J74" s="65"/>
      <c r="K74" s="67">
        <v>45722</v>
      </c>
      <c r="L74" s="67">
        <v>46567</v>
      </c>
      <c r="M74" s="66">
        <v>288</v>
      </c>
      <c r="N74" s="65" t="s">
        <v>57</v>
      </c>
      <c r="O74" s="65" t="s">
        <v>291</v>
      </c>
      <c r="P74" s="66">
        <v>73</v>
      </c>
      <c r="Q74" s="66">
        <v>73</v>
      </c>
      <c r="R74" s="66">
        <v>0</v>
      </c>
      <c r="S74" s="65" t="s">
        <v>34</v>
      </c>
      <c r="T74" s="65" t="s">
        <v>26</v>
      </c>
      <c r="U74" s="68">
        <v>3120</v>
      </c>
      <c r="V74" s="68">
        <v>227760</v>
      </c>
      <c r="W74" s="65" t="s">
        <v>28</v>
      </c>
      <c r="X74" s="65" t="s">
        <v>57</v>
      </c>
      <c r="Y74" s="69"/>
      <c r="Z74" s="69"/>
      <c r="AA74" s="67">
        <v>46279</v>
      </c>
      <c r="AB74" s="65" t="s">
        <v>70</v>
      </c>
    </row>
    <row r="75" spans="1:28">
      <c r="A75" s="65" t="s">
        <v>364</v>
      </c>
      <c r="B75" s="65" t="s">
        <v>77</v>
      </c>
      <c r="C75" s="65" t="s">
        <v>278</v>
      </c>
      <c r="D75" s="65" t="s">
        <v>23</v>
      </c>
      <c r="E75" s="65" t="s">
        <v>24</v>
      </c>
      <c r="F75" s="69"/>
      <c r="G75" s="66">
        <v>65</v>
      </c>
      <c r="H75" s="65" t="s">
        <v>144</v>
      </c>
      <c r="I75" s="65" t="s">
        <v>166</v>
      </c>
      <c r="J75" s="65"/>
      <c r="K75" s="67">
        <v>45624</v>
      </c>
      <c r="L75" s="67">
        <v>46567</v>
      </c>
      <c r="M75" s="66">
        <v>288</v>
      </c>
      <c r="N75" s="65" t="s">
        <v>57</v>
      </c>
      <c r="O75" s="65" t="s">
        <v>291</v>
      </c>
      <c r="P75" s="66">
        <v>73</v>
      </c>
      <c r="Q75" s="66">
        <v>73</v>
      </c>
      <c r="R75" s="66">
        <v>0</v>
      </c>
      <c r="S75" s="65" t="s">
        <v>34</v>
      </c>
      <c r="T75" s="65" t="s">
        <v>26</v>
      </c>
      <c r="U75" s="68">
        <v>3120</v>
      </c>
      <c r="V75" s="68">
        <v>227760</v>
      </c>
      <c r="W75" s="65" t="s">
        <v>28</v>
      </c>
      <c r="X75" s="65" t="s">
        <v>57</v>
      </c>
      <c r="Y75" s="69"/>
      <c r="Z75" s="69"/>
      <c r="AA75" s="67">
        <v>46279</v>
      </c>
      <c r="AB75" s="65" t="s">
        <v>70</v>
      </c>
    </row>
    <row r="76" spans="1:28">
      <c r="A76" s="65" t="s">
        <v>365</v>
      </c>
      <c r="B76" s="65" t="s">
        <v>77</v>
      </c>
      <c r="C76" s="65" t="s">
        <v>278</v>
      </c>
      <c r="D76" s="65" t="s">
        <v>23</v>
      </c>
      <c r="E76" s="65" t="s">
        <v>24</v>
      </c>
      <c r="F76" s="69"/>
      <c r="G76" s="66">
        <v>66</v>
      </c>
      <c r="H76" s="65" t="s">
        <v>216</v>
      </c>
      <c r="I76" s="65" t="s">
        <v>258</v>
      </c>
      <c r="J76" s="65"/>
      <c r="K76" s="67">
        <v>45722</v>
      </c>
      <c r="L76" s="67">
        <v>46567</v>
      </c>
      <c r="M76" s="66">
        <v>288</v>
      </c>
      <c r="N76" s="65" t="s">
        <v>57</v>
      </c>
      <c r="O76" s="65" t="s">
        <v>291</v>
      </c>
      <c r="P76" s="66">
        <v>73</v>
      </c>
      <c r="Q76" s="66">
        <v>73</v>
      </c>
      <c r="R76" s="66">
        <v>0</v>
      </c>
      <c r="S76" s="65" t="s">
        <v>34</v>
      </c>
      <c r="T76" s="65" t="s">
        <v>26</v>
      </c>
      <c r="U76" s="68">
        <v>3120</v>
      </c>
      <c r="V76" s="68">
        <v>227760</v>
      </c>
      <c r="W76" s="65" t="s">
        <v>28</v>
      </c>
      <c r="X76" s="65" t="s">
        <v>57</v>
      </c>
      <c r="Y76" s="69"/>
      <c r="Z76" s="69"/>
      <c r="AA76" s="67">
        <v>46279</v>
      </c>
      <c r="AB76" s="65" t="s">
        <v>70</v>
      </c>
    </row>
    <row r="77" spans="1:28">
      <c r="A77" s="65" t="s">
        <v>366</v>
      </c>
      <c r="B77" s="65" t="s">
        <v>77</v>
      </c>
      <c r="C77" s="65" t="s">
        <v>278</v>
      </c>
      <c r="D77" s="65" t="s">
        <v>23</v>
      </c>
      <c r="E77" s="65" t="s">
        <v>24</v>
      </c>
      <c r="F77" s="69"/>
      <c r="G77" s="66">
        <v>67</v>
      </c>
      <c r="H77" s="65" t="s">
        <v>145</v>
      </c>
      <c r="I77" s="65" t="s">
        <v>167</v>
      </c>
      <c r="J77" s="65"/>
      <c r="K77" s="67">
        <v>45609</v>
      </c>
      <c r="L77" s="67">
        <v>46567</v>
      </c>
      <c r="M77" s="66">
        <v>288</v>
      </c>
      <c r="N77" s="65" t="s">
        <v>57</v>
      </c>
      <c r="O77" s="65" t="s">
        <v>291</v>
      </c>
      <c r="P77" s="66">
        <v>73</v>
      </c>
      <c r="Q77" s="66">
        <v>73</v>
      </c>
      <c r="R77" s="66">
        <v>0</v>
      </c>
      <c r="S77" s="65" t="s">
        <v>34</v>
      </c>
      <c r="T77" s="65" t="s">
        <v>26</v>
      </c>
      <c r="U77" s="68">
        <v>3120</v>
      </c>
      <c r="V77" s="68">
        <v>227760</v>
      </c>
      <c r="W77" s="65" t="s">
        <v>28</v>
      </c>
      <c r="X77" s="65" t="s">
        <v>57</v>
      </c>
      <c r="Y77" s="69"/>
      <c r="Z77" s="69"/>
      <c r="AA77" s="67">
        <v>46279</v>
      </c>
      <c r="AB77" s="65" t="s">
        <v>70</v>
      </c>
    </row>
    <row r="78" spans="1:28">
      <c r="A78" s="65" t="s">
        <v>367</v>
      </c>
      <c r="B78" s="65" t="s">
        <v>77</v>
      </c>
      <c r="C78" s="65" t="s">
        <v>278</v>
      </c>
      <c r="D78" s="65" t="s">
        <v>23</v>
      </c>
      <c r="E78" s="65" t="s">
        <v>24</v>
      </c>
      <c r="F78" s="69"/>
      <c r="G78" s="66">
        <v>68</v>
      </c>
      <c r="H78" s="65" t="s">
        <v>146</v>
      </c>
      <c r="I78" s="65" t="s">
        <v>168</v>
      </c>
      <c r="J78" s="65"/>
      <c r="K78" s="67">
        <v>45965</v>
      </c>
      <c r="L78" s="67">
        <v>46567</v>
      </c>
      <c r="M78" s="66">
        <v>288</v>
      </c>
      <c r="N78" s="65" t="s">
        <v>57</v>
      </c>
      <c r="O78" s="65" t="s">
        <v>291</v>
      </c>
      <c r="P78" s="66">
        <v>73</v>
      </c>
      <c r="Q78" s="66">
        <v>73</v>
      </c>
      <c r="R78" s="66">
        <v>0</v>
      </c>
      <c r="S78" s="65" t="s">
        <v>34</v>
      </c>
      <c r="T78" s="65" t="s">
        <v>26</v>
      </c>
      <c r="U78" s="68">
        <v>3120</v>
      </c>
      <c r="V78" s="68">
        <v>227760</v>
      </c>
      <c r="W78" s="65" t="s">
        <v>28</v>
      </c>
      <c r="X78" s="65" t="s">
        <v>57</v>
      </c>
      <c r="Y78" s="69"/>
      <c r="Z78" s="69"/>
      <c r="AA78" s="67">
        <v>46279</v>
      </c>
      <c r="AB78" s="65" t="s">
        <v>70</v>
      </c>
    </row>
    <row r="79" spans="1:28">
      <c r="A79" s="65" t="s">
        <v>368</v>
      </c>
      <c r="B79" s="65" t="s">
        <v>77</v>
      </c>
      <c r="C79" s="65" t="s">
        <v>278</v>
      </c>
      <c r="D79" s="65" t="s">
        <v>23</v>
      </c>
      <c r="E79" s="65" t="s">
        <v>24</v>
      </c>
      <c r="F79" s="69"/>
      <c r="G79" s="66">
        <v>69</v>
      </c>
      <c r="H79" s="65" t="s">
        <v>217</v>
      </c>
      <c r="I79" s="65" t="s">
        <v>259</v>
      </c>
      <c r="J79" s="65"/>
      <c r="K79" s="67">
        <v>45722</v>
      </c>
      <c r="L79" s="67">
        <v>46567</v>
      </c>
      <c r="M79" s="66">
        <v>288</v>
      </c>
      <c r="N79" s="65" t="s">
        <v>57</v>
      </c>
      <c r="O79" s="65" t="s">
        <v>291</v>
      </c>
      <c r="P79" s="66">
        <v>73</v>
      </c>
      <c r="Q79" s="66">
        <v>73</v>
      </c>
      <c r="R79" s="66">
        <v>0</v>
      </c>
      <c r="S79" s="65" t="s">
        <v>34</v>
      </c>
      <c r="T79" s="65" t="s">
        <v>26</v>
      </c>
      <c r="U79" s="68">
        <v>3120</v>
      </c>
      <c r="V79" s="68">
        <v>227760</v>
      </c>
      <c r="W79" s="65" t="s">
        <v>28</v>
      </c>
      <c r="X79" s="65" t="s">
        <v>57</v>
      </c>
      <c r="Y79" s="69"/>
      <c r="Z79" s="69"/>
      <c r="AA79" s="67">
        <v>46279</v>
      </c>
      <c r="AB79" s="65" t="s">
        <v>70</v>
      </c>
    </row>
    <row r="80" spans="1:28">
      <c r="A80" s="65" t="s">
        <v>369</v>
      </c>
      <c r="B80" s="65" t="s">
        <v>77</v>
      </c>
      <c r="C80" s="65" t="s">
        <v>278</v>
      </c>
      <c r="D80" s="65" t="s">
        <v>23</v>
      </c>
      <c r="E80" s="65" t="s">
        <v>24</v>
      </c>
      <c r="F80" s="69"/>
      <c r="G80" s="66">
        <v>70</v>
      </c>
      <c r="H80" s="65" t="s">
        <v>218</v>
      </c>
      <c r="I80" s="65" t="s">
        <v>260</v>
      </c>
      <c r="J80" s="65"/>
      <c r="K80" s="67">
        <v>45722</v>
      </c>
      <c r="L80" s="67">
        <v>46567</v>
      </c>
      <c r="M80" s="66">
        <v>288</v>
      </c>
      <c r="N80" s="65" t="s">
        <v>57</v>
      </c>
      <c r="O80" s="65" t="s">
        <v>291</v>
      </c>
      <c r="P80" s="66">
        <v>73</v>
      </c>
      <c r="Q80" s="66">
        <v>73</v>
      </c>
      <c r="R80" s="66">
        <v>0</v>
      </c>
      <c r="S80" s="65" t="s">
        <v>34</v>
      </c>
      <c r="T80" s="65" t="s">
        <v>26</v>
      </c>
      <c r="U80" s="68">
        <v>3120</v>
      </c>
      <c r="V80" s="68">
        <v>227760</v>
      </c>
      <c r="W80" s="65" t="s">
        <v>28</v>
      </c>
      <c r="X80" s="65" t="s">
        <v>57</v>
      </c>
      <c r="Y80" s="69"/>
      <c r="Z80" s="69"/>
      <c r="AA80" s="67">
        <v>46279</v>
      </c>
      <c r="AB80" s="65" t="s">
        <v>70</v>
      </c>
    </row>
    <row r="81" spans="1:28">
      <c r="A81" s="65" t="s">
        <v>370</v>
      </c>
      <c r="B81" s="65" t="s">
        <v>77</v>
      </c>
      <c r="C81" s="65" t="s">
        <v>278</v>
      </c>
      <c r="D81" s="65" t="s">
        <v>23</v>
      </c>
      <c r="E81" s="65" t="s">
        <v>24</v>
      </c>
      <c r="F81" s="69"/>
      <c r="G81" s="66">
        <v>71</v>
      </c>
      <c r="H81" s="65" t="s">
        <v>219</v>
      </c>
      <c r="I81" s="65" t="s">
        <v>261</v>
      </c>
      <c r="J81" s="65"/>
      <c r="K81" s="67">
        <v>45722</v>
      </c>
      <c r="L81" s="67">
        <v>46567</v>
      </c>
      <c r="M81" s="66">
        <v>288</v>
      </c>
      <c r="N81" s="65" t="s">
        <v>57</v>
      </c>
      <c r="O81" s="65" t="s">
        <v>291</v>
      </c>
      <c r="P81" s="66">
        <v>73</v>
      </c>
      <c r="Q81" s="66">
        <v>73</v>
      </c>
      <c r="R81" s="66">
        <v>0</v>
      </c>
      <c r="S81" s="65" t="s">
        <v>34</v>
      </c>
      <c r="T81" s="65" t="s">
        <v>26</v>
      </c>
      <c r="U81" s="68">
        <v>3120</v>
      </c>
      <c r="V81" s="68">
        <v>227760</v>
      </c>
      <c r="W81" s="65" t="s">
        <v>28</v>
      </c>
      <c r="X81" s="65" t="s">
        <v>57</v>
      </c>
      <c r="Y81" s="69"/>
      <c r="Z81" s="69"/>
      <c r="AA81" s="67">
        <v>46279</v>
      </c>
      <c r="AB81" s="65" t="s">
        <v>70</v>
      </c>
    </row>
    <row r="82" spans="1:28">
      <c r="A82" s="65" t="s">
        <v>371</v>
      </c>
      <c r="B82" s="65" t="s">
        <v>77</v>
      </c>
      <c r="C82" s="65" t="s">
        <v>278</v>
      </c>
      <c r="D82" s="65" t="s">
        <v>23</v>
      </c>
      <c r="E82" s="65" t="s">
        <v>24</v>
      </c>
      <c r="F82" s="69"/>
      <c r="G82" s="66">
        <v>72</v>
      </c>
      <c r="H82" s="65" t="s">
        <v>220</v>
      </c>
      <c r="I82" s="65" t="s">
        <v>262</v>
      </c>
      <c r="J82" s="65"/>
      <c r="K82" s="67">
        <v>45722</v>
      </c>
      <c r="L82" s="67">
        <v>46567</v>
      </c>
      <c r="M82" s="66">
        <v>288</v>
      </c>
      <c r="N82" s="65" t="s">
        <v>57</v>
      </c>
      <c r="O82" s="65" t="s">
        <v>291</v>
      </c>
      <c r="P82" s="66">
        <v>73</v>
      </c>
      <c r="Q82" s="66">
        <v>73</v>
      </c>
      <c r="R82" s="66">
        <v>0</v>
      </c>
      <c r="S82" s="65" t="s">
        <v>34</v>
      </c>
      <c r="T82" s="65" t="s">
        <v>26</v>
      </c>
      <c r="U82" s="68">
        <v>3120</v>
      </c>
      <c r="V82" s="68">
        <v>227760</v>
      </c>
      <c r="W82" s="65" t="s">
        <v>28</v>
      </c>
      <c r="X82" s="65" t="s">
        <v>57</v>
      </c>
      <c r="Y82" s="69"/>
      <c r="Z82" s="69"/>
      <c r="AA82" s="67">
        <v>46279</v>
      </c>
      <c r="AB82" s="65" t="s">
        <v>70</v>
      </c>
    </row>
    <row r="83" spans="1:28">
      <c r="A83" s="65" t="s">
        <v>372</v>
      </c>
      <c r="B83" s="65" t="s">
        <v>77</v>
      </c>
      <c r="C83" s="65" t="s">
        <v>278</v>
      </c>
      <c r="D83" s="65" t="s">
        <v>23</v>
      </c>
      <c r="E83" s="65" t="s">
        <v>24</v>
      </c>
      <c r="F83" s="69"/>
      <c r="G83" s="66">
        <v>73</v>
      </c>
      <c r="H83" s="65" t="s">
        <v>113</v>
      </c>
      <c r="I83" s="65" t="s">
        <v>97</v>
      </c>
      <c r="J83" s="65"/>
      <c r="K83" s="67">
        <v>45722</v>
      </c>
      <c r="L83" s="67">
        <v>46567</v>
      </c>
      <c r="M83" s="66">
        <v>288</v>
      </c>
      <c r="N83" s="65" t="s">
        <v>57</v>
      </c>
      <c r="O83" s="65" t="s">
        <v>291</v>
      </c>
      <c r="P83" s="66">
        <v>73</v>
      </c>
      <c r="Q83" s="66">
        <v>73</v>
      </c>
      <c r="R83" s="66">
        <v>0</v>
      </c>
      <c r="S83" s="65" t="s">
        <v>34</v>
      </c>
      <c r="T83" s="65" t="s">
        <v>26</v>
      </c>
      <c r="U83" s="68">
        <v>3120</v>
      </c>
      <c r="V83" s="68">
        <v>227760</v>
      </c>
      <c r="W83" s="65" t="s">
        <v>28</v>
      </c>
      <c r="X83" s="65" t="s">
        <v>57</v>
      </c>
      <c r="Y83" s="69"/>
      <c r="Z83" s="69"/>
      <c r="AA83" s="67">
        <v>46279</v>
      </c>
      <c r="AB83" s="65" t="s">
        <v>70</v>
      </c>
    </row>
    <row r="84" spans="1:28">
      <c r="A84" s="65" t="s">
        <v>373</v>
      </c>
      <c r="B84" s="65" t="s">
        <v>78</v>
      </c>
      <c r="C84" s="65" t="s">
        <v>278</v>
      </c>
      <c r="D84" s="65" t="s">
        <v>23</v>
      </c>
      <c r="E84" s="65" t="s">
        <v>24</v>
      </c>
      <c r="F84" s="69"/>
      <c r="G84" s="66">
        <v>1</v>
      </c>
      <c r="H84" s="65" t="s">
        <v>123</v>
      </c>
      <c r="I84" s="65" t="s">
        <v>147</v>
      </c>
      <c r="J84" s="65"/>
      <c r="K84" s="67">
        <v>45722</v>
      </c>
      <c r="L84" s="67">
        <v>46567</v>
      </c>
      <c r="M84" s="66">
        <v>288</v>
      </c>
      <c r="N84" s="65" t="s">
        <v>57</v>
      </c>
      <c r="O84" s="65" t="s">
        <v>291</v>
      </c>
      <c r="P84" s="66">
        <v>24</v>
      </c>
      <c r="Q84" s="66">
        <v>23</v>
      </c>
      <c r="R84" s="66">
        <v>1</v>
      </c>
      <c r="S84" s="65" t="s">
        <v>34</v>
      </c>
      <c r="T84" s="65" t="s">
        <v>26</v>
      </c>
      <c r="U84" s="68">
        <v>10560</v>
      </c>
      <c r="V84" s="68">
        <v>253440</v>
      </c>
      <c r="W84" s="65" t="s">
        <v>28</v>
      </c>
      <c r="X84" s="65" t="s">
        <v>57</v>
      </c>
      <c r="Y84" s="69"/>
      <c r="Z84" s="69"/>
      <c r="AA84" s="67">
        <v>46279</v>
      </c>
      <c r="AB84" s="65" t="s">
        <v>70</v>
      </c>
    </row>
    <row r="85" spans="1:28">
      <c r="A85" s="65" t="s">
        <v>374</v>
      </c>
      <c r="B85" s="65" t="s">
        <v>78</v>
      </c>
      <c r="C85" s="65" t="s">
        <v>278</v>
      </c>
      <c r="D85" s="65" t="s">
        <v>23</v>
      </c>
      <c r="E85" s="65" t="s">
        <v>24</v>
      </c>
      <c r="F85" s="69"/>
      <c r="G85" s="66">
        <v>2</v>
      </c>
      <c r="H85" s="65" t="s">
        <v>124</v>
      </c>
      <c r="I85" s="65" t="s">
        <v>148</v>
      </c>
      <c r="J85" s="65"/>
      <c r="K85" s="67">
        <v>45722</v>
      </c>
      <c r="L85" s="67">
        <v>46567</v>
      </c>
      <c r="M85" s="66">
        <v>288</v>
      </c>
      <c r="N85" s="65" t="s">
        <v>57</v>
      </c>
      <c r="O85" s="65" t="s">
        <v>291</v>
      </c>
      <c r="P85" s="66">
        <v>24</v>
      </c>
      <c r="Q85" s="66">
        <v>23</v>
      </c>
      <c r="R85" s="66">
        <v>1</v>
      </c>
      <c r="S85" s="65" t="s">
        <v>34</v>
      </c>
      <c r="T85" s="65" t="s">
        <v>26</v>
      </c>
      <c r="U85" s="68">
        <v>10560</v>
      </c>
      <c r="V85" s="68">
        <v>253440</v>
      </c>
      <c r="W85" s="65" t="s">
        <v>28</v>
      </c>
      <c r="X85" s="65" t="s">
        <v>57</v>
      </c>
      <c r="Y85" s="69"/>
      <c r="Z85" s="69"/>
      <c r="AA85" s="67">
        <v>46279</v>
      </c>
      <c r="AB85" s="65" t="s">
        <v>70</v>
      </c>
    </row>
    <row r="86" spans="1:28">
      <c r="A86" s="65" t="s">
        <v>375</v>
      </c>
      <c r="B86" s="65" t="s">
        <v>78</v>
      </c>
      <c r="C86" s="65" t="s">
        <v>278</v>
      </c>
      <c r="D86" s="65" t="s">
        <v>23</v>
      </c>
      <c r="E86" s="65" t="s">
        <v>24</v>
      </c>
      <c r="F86" s="69"/>
      <c r="G86" s="66">
        <v>3</v>
      </c>
      <c r="H86" s="65" t="s">
        <v>125</v>
      </c>
      <c r="I86" s="65" t="s">
        <v>149</v>
      </c>
      <c r="J86" s="65"/>
      <c r="K86" s="67">
        <v>45722</v>
      </c>
      <c r="L86" s="67">
        <v>46567</v>
      </c>
      <c r="M86" s="66">
        <v>288</v>
      </c>
      <c r="N86" s="65" t="s">
        <v>57</v>
      </c>
      <c r="O86" s="65" t="s">
        <v>291</v>
      </c>
      <c r="P86" s="66">
        <v>24</v>
      </c>
      <c r="Q86" s="66">
        <v>23</v>
      </c>
      <c r="R86" s="66">
        <v>1</v>
      </c>
      <c r="S86" s="65" t="s">
        <v>34</v>
      </c>
      <c r="T86" s="65" t="s">
        <v>26</v>
      </c>
      <c r="U86" s="68">
        <v>10560</v>
      </c>
      <c r="V86" s="68">
        <v>253440</v>
      </c>
      <c r="W86" s="65" t="s">
        <v>28</v>
      </c>
      <c r="X86" s="65" t="s">
        <v>57</v>
      </c>
      <c r="Y86" s="69"/>
      <c r="Z86" s="69"/>
      <c r="AA86" s="67">
        <v>46279</v>
      </c>
      <c r="AB86" s="65" t="s">
        <v>70</v>
      </c>
    </row>
    <row r="87" spans="1:28">
      <c r="A87" s="65" t="s">
        <v>376</v>
      </c>
      <c r="B87" s="65" t="s">
        <v>78</v>
      </c>
      <c r="C87" s="65" t="s">
        <v>278</v>
      </c>
      <c r="D87" s="65" t="s">
        <v>23</v>
      </c>
      <c r="E87" s="65" t="s">
        <v>24</v>
      </c>
      <c r="F87" s="69"/>
      <c r="G87" s="66">
        <v>4</v>
      </c>
      <c r="H87" s="65" t="s">
        <v>126</v>
      </c>
      <c r="I87" s="65" t="s">
        <v>150</v>
      </c>
      <c r="J87" s="65"/>
      <c r="K87" s="67">
        <v>46100</v>
      </c>
      <c r="L87" s="67">
        <v>46567</v>
      </c>
      <c r="M87" s="66">
        <v>288</v>
      </c>
      <c r="N87" s="65" t="s">
        <v>57</v>
      </c>
      <c r="O87" s="65" t="s">
        <v>291</v>
      </c>
      <c r="P87" s="66">
        <v>24</v>
      </c>
      <c r="Q87" s="66">
        <v>23</v>
      </c>
      <c r="R87" s="66">
        <v>1</v>
      </c>
      <c r="S87" s="65" t="s">
        <v>34</v>
      </c>
      <c r="T87" s="65" t="s">
        <v>26</v>
      </c>
      <c r="U87" s="68">
        <v>10560</v>
      </c>
      <c r="V87" s="68">
        <v>253440</v>
      </c>
      <c r="W87" s="65" t="s">
        <v>28</v>
      </c>
      <c r="X87" s="65" t="s">
        <v>57</v>
      </c>
      <c r="Y87" s="69"/>
      <c r="Z87" s="69"/>
      <c r="AA87" s="67">
        <v>46279</v>
      </c>
      <c r="AB87" s="65" t="s">
        <v>70</v>
      </c>
    </row>
    <row r="88" spans="1:28">
      <c r="A88" s="65" t="s">
        <v>377</v>
      </c>
      <c r="B88" s="65" t="s">
        <v>78</v>
      </c>
      <c r="C88" s="65" t="s">
        <v>278</v>
      </c>
      <c r="D88" s="65" t="s">
        <v>23</v>
      </c>
      <c r="E88" s="65" t="s">
        <v>24</v>
      </c>
      <c r="F88" s="69"/>
      <c r="G88" s="66">
        <v>5</v>
      </c>
      <c r="H88" s="65" t="s">
        <v>127</v>
      </c>
      <c r="I88" s="65" t="s">
        <v>151</v>
      </c>
      <c r="J88" s="65"/>
      <c r="K88" s="67">
        <v>45722</v>
      </c>
      <c r="L88" s="67">
        <v>46567</v>
      </c>
      <c r="M88" s="66">
        <v>288</v>
      </c>
      <c r="N88" s="65" t="s">
        <v>57</v>
      </c>
      <c r="O88" s="65" t="s">
        <v>291</v>
      </c>
      <c r="P88" s="66">
        <v>24</v>
      </c>
      <c r="Q88" s="66">
        <v>23</v>
      </c>
      <c r="R88" s="66">
        <v>1</v>
      </c>
      <c r="S88" s="65" t="s">
        <v>34</v>
      </c>
      <c r="T88" s="65" t="s">
        <v>26</v>
      </c>
      <c r="U88" s="68">
        <v>10560</v>
      </c>
      <c r="V88" s="68">
        <v>253440</v>
      </c>
      <c r="W88" s="65" t="s">
        <v>28</v>
      </c>
      <c r="X88" s="65" t="s">
        <v>57</v>
      </c>
      <c r="Y88" s="69"/>
      <c r="Z88" s="69"/>
      <c r="AA88" s="67">
        <v>46279</v>
      </c>
      <c r="AB88" s="65" t="s">
        <v>70</v>
      </c>
    </row>
    <row r="89" spans="1:28">
      <c r="A89" s="65" t="s">
        <v>378</v>
      </c>
      <c r="B89" s="65" t="s">
        <v>78</v>
      </c>
      <c r="C89" s="65" t="s">
        <v>278</v>
      </c>
      <c r="D89" s="65" t="s">
        <v>23</v>
      </c>
      <c r="E89" s="65" t="s">
        <v>24</v>
      </c>
      <c r="F89" s="69"/>
      <c r="G89" s="66">
        <v>6</v>
      </c>
      <c r="H89" s="65" t="s">
        <v>128</v>
      </c>
      <c r="I89" s="65" t="s">
        <v>152</v>
      </c>
      <c r="J89" s="65"/>
      <c r="K89" s="67">
        <v>44767</v>
      </c>
      <c r="L89" s="67">
        <v>46567</v>
      </c>
      <c r="M89" s="66">
        <v>288</v>
      </c>
      <c r="N89" s="65" t="s">
        <v>57</v>
      </c>
      <c r="O89" s="65" t="s">
        <v>291</v>
      </c>
      <c r="P89" s="66">
        <v>24</v>
      </c>
      <c r="Q89" s="66">
        <v>23</v>
      </c>
      <c r="R89" s="66">
        <v>1</v>
      </c>
      <c r="S89" s="65" t="s">
        <v>34</v>
      </c>
      <c r="T89" s="65" t="s">
        <v>26</v>
      </c>
      <c r="U89" s="68">
        <v>10560</v>
      </c>
      <c r="V89" s="68">
        <v>253440</v>
      </c>
      <c r="W89" s="65" t="s">
        <v>28</v>
      </c>
      <c r="X89" s="65" t="s">
        <v>57</v>
      </c>
      <c r="Y89" s="69"/>
      <c r="Z89" s="69"/>
      <c r="AA89" s="67">
        <v>46279</v>
      </c>
      <c r="AB89" s="65" t="s">
        <v>70</v>
      </c>
    </row>
    <row r="90" spans="1:28">
      <c r="A90" s="65" t="s">
        <v>379</v>
      </c>
      <c r="B90" s="65" t="s">
        <v>78</v>
      </c>
      <c r="C90" s="65" t="s">
        <v>278</v>
      </c>
      <c r="D90" s="65" t="s">
        <v>23</v>
      </c>
      <c r="E90" s="65" t="s">
        <v>24</v>
      </c>
      <c r="F90" s="69"/>
      <c r="G90" s="66">
        <v>7</v>
      </c>
      <c r="H90" s="65" t="s">
        <v>129</v>
      </c>
      <c r="I90" s="65" t="s">
        <v>153</v>
      </c>
      <c r="J90" s="65"/>
      <c r="K90" s="67">
        <v>45958</v>
      </c>
      <c r="L90" s="67">
        <v>46567</v>
      </c>
      <c r="M90" s="66">
        <v>288</v>
      </c>
      <c r="N90" s="65" t="s">
        <v>57</v>
      </c>
      <c r="O90" s="65" t="s">
        <v>291</v>
      </c>
      <c r="P90" s="66">
        <v>24</v>
      </c>
      <c r="Q90" s="66">
        <v>23</v>
      </c>
      <c r="R90" s="66">
        <v>1</v>
      </c>
      <c r="S90" s="65" t="s">
        <v>34</v>
      </c>
      <c r="T90" s="65" t="s">
        <v>26</v>
      </c>
      <c r="U90" s="68">
        <v>10560</v>
      </c>
      <c r="V90" s="68">
        <v>253440</v>
      </c>
      <c r="W90" s="65" t="s">
        <v>28</v>
      </c>
      <c r="X90" s="65" t="s">
        <v>57</v>
      </c>
      <c r="Y90" s="69"/>
      <c r="Z90" s="69"/>
      <c r="AA90" s="67">
        <v>46279</v>
      </c>
      <c r="AB90" s="65" t="s">
        <v>70</v>
      </c>
    </row>
    <row r="91" spans="1:28">
      <c r="A91" s="65" t="s">
        <v>380</v>
      </c>
      <c r="B91" s="65" t="s">
        <v>78</v>
      </c>
      <c r="C91" s="65" t="s">
        <v>278</v>
      </c>
      <c r="D91" s="65" t="s">
        <v>23</v>
      </c>
      <c r="E91" s="65" t="s">
        <v>24</v>
      </c>
      <c r="F91" s="69"/>
      <c r="G91" s="66">
        <v>8</v>
      </c>
      <c r="H91" s="65" t="s">
        <v>130</v>
      </c>
      <c r="I91" s="65" t="s">
        <v>154</v>
      </c>
      <c r="J91" s="65"/>
      <c r="K91" s="67">
        <v>44767</v>
      </c>
      <c r="L91" s="67">
        <v>46567</v>
      </c>
      <c r="M91" s="66">
        <v>288</v>
      </c>
      <c r="N91" s="65" t="s">
        <v>57</v>
      </c>
      <c r="O91" s="65" t="s">
        <v>291</v>
      </c>
      <c r="P91" s="66">
        <v>24</v>
      </c>
      <c r="Q91" s="66">
        <v>23</v>
      </c>
      <c r="R91" s="66">
        <v>1</v>
      </c>
      <c r="S91" s="65" t="s">
        <v>34</v>
      </c>
      <c r="T91" s="65" t="s">
        <v>26</v>
      </c>
      <c r="U91" s="68">
        <v>10560</v>
      </c>
      <c r="V91" s="68">
        <v>253440</v>
      </c>
      <c r="W91" s="65" t="s">
        <v>28</v>
      </c>
      <c r="X91" s="65" t="s">
        <v>57</v>
      </c>
      <c r="Y91" s="69"/>
      <c r="Z91" s="69"/>
      <c r="AA91" s="67">
        <v>46279</v>
      </c>
      <c r="AB91" s="65" t="s">
        <v>70</v>
      </c>
    </row>
    <row r="92" spans="1:28">
      <c r="A92" s="65" t="s">
        <v>381</v>
      </c>
      <c r="B92" s="65" t="s">
        <v>78</v>
      </c>
      <c r="C92" s="65" t="s">
        <v>278</v>
      </c>
      <c r="D92" s="65" t="s">
        <v>23</v>
      </c>
      <c r="E92" s="65" t="s">
        <v>24</v>
      </c>
      <c r="F92" s="69"/>
      <c r="G92" s="66">
        <v>9</v>
      </c>
      <c r="H92" s="65" t="s">
        <v>131</v>
      </c>
      <c r="I92" s="65" t="s">
        <v>155</v>
      </c>
      <c r="J92" s="65"/>
      <c r="K92" s="67">
        <v>45722</v>
      </c>
      <c r="L92" s="67">
        <v>46567</v>
      </c>
      <c r="M92" s="66">
        <v>288</v>
      </c>
      <c r="N92" s="65" t="s">
        <v>57</v>
      </c>
      <c r="O92" s="65" t="s">
        <v>291</v>
      </c>
      <c r="P92" s="66">
        <v>24</v>
      </c>
      <c r="Q92" s="66">
        <v>23</v>
      </c>
      <c r="R92" s="66">
        <v>1</v>
      </c>
      <c r="S92" s="65" t="s">
        <v>34</v>
      </c>
      <c r="T92" s="65" t="s">
        <v>26</v>
      </c>
      <c r="U92" s="68">
        <v>10560</v>
      </c>
      <c r="V92" s="68">
        <v>253440</v>
      </c>
      <c r="W92" s="65" t="s">
        <v>28</v>
      </c>
      <c r="X92" s="65" t="s">
        <v>57</v>
      </c>
      <c r="Y92" s="69"/>
      <c r="Z92" s="69"/>
      <c r="AA92" s="67">
        <v>46279</v>
      </c>
      <c r="AB92" s="65" t="s">
        <v>70</v>
      </c>
    </row>
    <row r="93" spans="1:28">
      <c r="A93" s="65" t="s">
        <v>382</v>
      </c>
      <c r="B93" s="65" t="s">
        <v>78</v>
      </c>
      <c r="C93" s="65" t="s">
        <v>278</v>
      </c>
      <c r="D93" s="65" t="s">
        <v>23</v>
      </c>
      <c r="E93" s="65" t="s">
        <v>24</v>
      </c>
      <c r="F93" s="69"/>
      <c r="G93" s="66">
        <v>10</v>
      </c>
      <c r="H93" s="65" t="s">
        <v>132</v>
      </c>
      <c r="I93" s="65" t="s">
        <v>156</v>
      </c>
      <c r="J93" s="65"/>
      <c r="K93" s="67">
        <v>46021</v>
      </c>
      <c r="L93" s="67">
        <v>46567</v>
      </c>
      <c r="M93" s="66">
        <v>288</v>
      </c>
      <c r="N93" s="65" t="s">
        <v>57</v>
      </c>
      <c r="O93" s="65" t="s">
        <v>291</v>
      </c>
      <c r="P93" s="66">
        <v>24</v>
      </c>
      <c r="Q93" s="66">
        <v>23</v>
      </c>
      <c r="R93" s="66">
        <v>1</v>
      </c>
      <c r="S93" s="65" t="s">
        <v>34</v>
      </c>
      <c r="T93" s="65" t="s">
        <v>26</v>
      </c>
      <c r="U93" s="68">
        <v>10560</v>
      </c>
      <c r="V93" s="68">
        <v>253440</v>
      </c>
      <c r="W93" s="65" t="s">
        <v>28</v>
      </c>
      <c r="X93" s="65" t="s">
        <v>57</v>
      </c>
      <c r="Y93" s="69"/>
      <c r="Z93" s="69"/>
      <c r="AA93" s="67">
        <v>46279</v>
      </c>
      <c r="AB93" s="65" t="s">
        <v>70</v>
      </c>
    </row>
    <row r="94" spans="1:28">
      <c r="A94" s="65" t="s">
        <v>383</v>
      </c>
      <c r="B94" s="65" t="s">
        <v>78</v>
      </c>
      <c r="C94" s="65" t="s">
        <v>278</v>
      </c>
      <c r="D94" s="65" t="s">
        <v>23</v>
      </c>
      <c r="E94" s="65" t="s">
        <v>24</v>
      </c>
      <c r="F94" s="69"/>
      <c r="G94" s="66">
        <v>11</v>
      </c>
      <c r="H94" s="65" t="s">
        <v>133</v>
      </c>
      <c r="I94" s="65" t="s">
        <v>157</v>
      </c>
      <c r="J94" s="65"/>
      <c r="K94" s="67">
        <v>45722</v>
      </c>
      <c r="L94" s="67">
        <v>46567</v>
      </c>
      <c r="M94" s="66">
        <v>288</v>
      </c>
      <c r="N94" s="65" t="s">
        <v>57</v>
      </c>
      <c r="O94" s="65" t="s">
        <v>291</v>
      </c>
      <c r="P94" s="66">
        <v>24</v>
      </c>
      <c r="Q94" s="66">
        <v>23</v>
      </c>
      <c r="R94" s="66">
        <v>1</v>
      </c>
      <c r="S94" s="65" t="s">
        <v>34</v>
      </c>
      <c r="T94" s="65" t="s">
        <v>26</v>
      </c>
      <c r="U94" s="68">
        <v>10560</v>
      </c>
      <c r="V94" s="68">
        <v>253440</v>
      </c>
      <c r="W94" s="65" t="s">
        <v>28</v>
      </c>
      <c r="X94" s="65" t="s">
        <v>57</v>
      </c>
      <c r="Y94" s="69"/>
      <c r="Z94" s="69"/>
      <c r="AA94" s="67">
        <v>46279</v>
      </c>
      <c r="AB94" s="65" t="s">
        <v>70</v>
      </c>
    </row>
    <row r="95" spans="1:28">
      <c r="A95" s="65" t="s">
        <v>384</v>
      </c>
      <c r="B95" s="65" t="s">
        <v>78</v>
      </c>
      <c r="C95" s="65" t="s">
        <v>278</v>
      </c>
      <c r="D95" s="65" t="s">
        <v>23</v>
      </c>
      <c r="E95" s="65" t="s">
        <v>24</v>
      </c>
      <c r="F95" s="69"/>
      <c r="G95" s="66">
        <v>12</v>
      </c>
      <c r="H95" s="65" t="s">
        <v>134</v>
      </c>
      <c r="I95" s="65" t="s">
        <v>158</v>
      </c>
      <c r="J95" s="65"/>
      <c r="K95" s="67">
        <v>44767</v>
      </c>
      <c r="L95" s="67">
        <v>46567</v>
      </c>
      <c r="M95" s="66">
        <v>288</v>
      </c>
      <c r="N95" s="65" t="s">
        <v>57</v>
      </c>
      <c r="O95" s="65" t="s">
        <v>291</v>
      </c>
      <c r="P95" s="66">
        <v>24</v>
      </c>
      <c r="Q95" s="66">
        <v>23</v>
      </c>
      <c r="R95" s="66">
        <v>1</v>
      </c>
      <c r="S95" s="65" t="s">
        <v>34</v>
      </c>
      <c r="T95" s="65" t="s">
        <v>26</v>
      </c>
      <c r="U95" s="68">
        <v>10560</v>
      </c>
      <c r="V95" s="68">
        <v>253440</v>
      </c>
      <c r="W95" s="65" t="s">
        <v>28</v>
      </c>
      <c r="X95" s="65" t="s">
        <v>57</v>
      </c>
      <c r="Y95" s="69"/>
      <c r="Z95" s="69"/>
      <c r="AA95" s="67">
        <v>46279</v>
      </c>
      <c r="AB95" s="65" t="s">
        <v>70</v>
      </c>
    </row>
    <row r="96" spans="1:28">
      <c r="A96" s="65" t="s">
        <v>385</v>
      </c>
      <c r="B96" s="65" t="s">
        <v>78</v>
      </c>
      <c r="C96" s="65" t="s">
        <v>278</v>
      </c>
      <c r="D96" s="65" t="s">
        <v>23</v>
      </c>
      <c r="E96" s="65" t="s">
        <v>24</v>
      </c>
      <c r="F96" s="69"/>
      <c r="G96" s="66">
        <v>13</v>
      </c>
      <c r="H96" s="65" t="s">
        <v>135</v>
      </c>
      <c r="I96" s="65" t="s">
        <v>64</v>
      </c>
      <c r="J96" s="65"/>
      <c r="K96" s="67">
        <v>44767</v>
      </c>
      <c r="L96" s="67">
        <v>46567</v>
      </c>
      <c r="M96" s="66">
        <v>288</v>
      </c>
      <c r="N96" s="65" t="s">
        <v>57</v>
      </c>
      <c r="O96" s="65" t="s">
        <v>291</v>
      </c>
      <c r="P96" s="66">
        <v>24</v>
      </c>
      <c r="Q96" s="66">
        <v>23</v>
      </c>
      <c r="R96" s="66">
        <v>1</v>
      </c>
      <c r="S96" s="65" t="s">
        <v>34</v>
      </c>
      <c r="T96" s="65" t="s">
        <v>26</v>
      </c>
      <c r="U96" s="68">
        <v>10560</v>
      </c>
      <c r="V96" s="68">
        <v>253440</v>
      </c>
      <c r="W96" s="65" t="s">
        <v>28</v>
      </c>
      <c r="X96" s="65" t="s">
        <v>57</v>
      </c>
      <c r="Y96" s="69"/>
      <c r="Z96" s="69"/>
      <c r="AA96" s="67">
        <v>46279</v>
      </c>
      <c r="AB96" s="65" t="s">
        <v>70</v>
      </c>
    </row>
    <row r="97" spans="1:28">
      <c r="A97" s="65" t="s">
        <v>386</v>
      </c>
      <c r="B97" s="65" t="s">
        <v>78</v>
      </c>
      <c r="C97" s="65" t="s">
        <v>278</v>
      </c>
      <c r="D97" s="65" t="s">
        <v>23</v>
      </c>
      <c r="E97" s="65" t="s">
        <v>24</v>
      </c>
      <c r="F97" s="69"/>
      <c r="G97" s="66">
        <v>14</v>
      </c>
      <c r="H97" s="65" t="s">
        <v>136</v>
      </c>
      <c r="I97" s="65" t="s">
        <v>115</v>
      </c>
      <c r="J97" s="65"/>
      <c r="K97" s="67">
        <v>46202</v>
      </c>
      <c r="L97" s="67">
        <v>46567</v>
      </c>
      <c r="M97" s="66">
        <v>288</v>
      </c>
      <c r="N97" s="65" t="s">
        <v>57</v>
      </c>
      <c r="O97" s="65" t="s">
        <v>291</v>
      </c>
      <c r="P97" s="66">
        <v>24</v>
      </c>
      <c r="Q97" s="66">
        <v>23</v>
      </c>
      <c r="R97" s="66">
        <v>1</v>
      </c>
      <c r="S97" s="65" t="s">
        <v>34</v>
      </c>
      <c r="T97" s="65" t="s">
        <v>26</v>
      </c>
      <c r="U97" s="68">
        <v>10560</v>
      </c>
      <c r="V97" s="68">
        <v>253440</v>
      </c>
      <c r="W97" s="65" t="s">
        <v>28</v>
      </c>
      <c r="X97" s="65" t="s">
        <v>57</v>
      </c>
      <c r="Y97" s="69"/>
      <c r="Z97" s="69"/>
      <c r="AA97" s="67">
        <v>46279</v>
      </c>
      <c r="AB97" s="65" t="s">
        <v>70</v>
      </c>
    </row>
    <row r="98" spans="1:28">
      <c r="A98" s="65" t="s">
        <v>387</v>
      </c>
      <c r="B98" s="65" t="s">
        <v>78</v>
      </c>
      <c r="C98" s="65" t="s">
        <v>278</v>
      </c>
      <c r="D98" s="65" t="s">
        <v>23</v>
      </c>
      <c r="E98" s="65" t="s">
        <v>24</v>
      </c>
      <c r="F98" s="69"/>
      <c r="G98" s="66">
        <v>15</v>
      </c>
      <c r="H98" s="65" t="s">
        <v>137</v>
      </c>
      <c r="I98" s="65" t="s">
        <v>159</v>
      </c>
      <c r="J98" s="65"/>
      <c r="K98" s="67">
        <v>45722</v>
      </c>
      <c r="L98" s="67">
        <v>46567</v>
      </c>
      <c r="M98" s="66">
        <v>288</v>
      </c>
      <c r="N98" s="65" t="s">
        <v>57</v>
      </c>
      <c r="O98" s="65" t="s">
        <v>291</v>
      </c>
      <c r="P98" s="66">
        <v>24</v>
      </c>
      <c r="Q98" s="66">
        <v>23</v>
      </c>
      <c r="R98" s="66">
        <v>1</v>
      </c>
      <c r="S98" s="65" t="s">
        <v>34</v>
      </c>
      <c r="T98" s="65" t="s">
        <v>26</v>
      </c>
      <c r="U98" s="68">
        <v>10560</v>
      </c>
      <c r="V98" s="68">
        <v>253440</v>
      </c>
      <c r="W98" s="65" t="s">
        <v>28</v>
      </c>
      <c r="X98" s="65" t="s">
        <v>57</v>
      </c>
      <c r="Y98" s="69"/>
      <c r="Z98" s="69"/>
      <c r="AA98" s="67">
        <v>46279</v>
      </c>
      <c r="AB98" s="65" t="s">
        <v>70</v>
      </c>
    </row>
    <row r="99" spans="1:28">
      <c r="A99" s="65" t="s">
        <v>388</v>
      </c>
      <c r="B99" s="65" t="s">
        <v>78</v>
      </c>
      <c r="C99" s="65" t="s">
        <v>278</v>
      </c>
      <c r="D99" s="65" t="s">
        <v>23</v>
      </c>
      <c r="E99" s="65" t="s">
        <v>24</v>
      </c>
      <c r="F99" s="69"/>
      <c r="G99" s="66">
        <v>16</v>
      </c>
      <c r="H99" s="65" t="s">
        <v>138</v>
      </c>
      <c r="I99" s="65" t="s">
        <v>160</v>
      </c>
      <c r="J99" s="65"/>
      <c r="K99" s="67">
        <v>44767</v>
      </c>
      <c r="L99" s="67">
        <v>46567</v>
      </c>
      <c r="M99" s="66">
        <v>288</v>
      </c>
      <c r="N99" s="65" t="s">
        <v>57</v>
      </c>
      <c r="O99" s="65" t="s">
        <v>291</v>
      </c>
      <c r="P99" s="66">
        <v>24</v>
      </c>
      <c r="Q99" s="66">
        <v>23</v>
      </c>
      <c r="R99" s="66">
        <v>1</v>
      </c>
      <c r="S99" s="65" t="s">
        <v>34</v>
      </c>
      <c r="T99" s="65" t="s">
        <v>26</v>
      </c>
      <c r="U99" s="68">
        <v>10560</v>
      </c>
      <c r="V99" s="68">
        <v>253440</v>
      </c>
      <c r="W99" s="65" t="s">
        <v>28</v>
      </c>
      <c r="X99" s="65" t="s">
        <v>57</v>
      </c>
      <c r="Y99" s="69"/>
      <c r="Z99" s="69"/>
      <c r="AA99" s="67">
        <v>46279</v>
      </c>
      <c r="AB99" s="65" t="s">
        <v>70</v>
      </c>
    </row>
    <row r="100" spans="1:28">
      <c r="A100" s="65" t="s">
        <v>389</v>
      </c>
      <c r="B100" s="65" t="s">
        <v>78</v>
      </c>
      <c r="C100" s="65" t="s">
        <v>278</v>
      </c>
      <c r="D100" s="65" t="s">
        <v>23</v>
      </c>
      <c r="E100" s="65" t="s">
        <v>24</v>
      </c>
      <c r="F100" s="69"/>
      <c r="G100" s="66">
        <v>17</v>
      </c>
      <c r="H100" s="65" t="s">
        <v>139</v>
      </c>
      <c r="I100" s="65" t="s">
        <v>161</v>
      </c>
      <c r="J100" s="65"/>
      <c r="K100" s="67">
        <v>45722</v>
      </c>
      <c r="L100" s="67">
        <v>46567</v>
      </c>
      <c r="M100" s="66">
        <v>288</v>
      </c>
      <c r="N100" s="65" t="s">
        <v>57</v>
      </c>
      <c r="O100" s="65" t="s">
        <v>291</v>
      </c>
      <c r="P100" s="66">
        <v>24</v>
      </c>
      <c r="Q100" s="66">
        <v>23</v>
      </c>
      <c r="R100" s="66">
        <v>1</v>
      </c>
      <c r="S100" s="65" t="s">
        <v>34</v>
      </c>
      <c r="T100" s="65" t="s">
        <v>26</v>
      </c>
      <c r="U100" s="68">
        <v>10560</v>
      </c>
      <c r="V100" s="68">
        <v>253440</v>
      </c>
      <c r="W100" s="65" t="s">
        <v>28</v>
      </c>
      <c r="X100" s="65" t="s">
        <v>57</v>
      </c>
      <c r="Y100" s="69"/>
      <c r="Z100" s="69"/>
      <c r="AA100" s="67">
        <v>46279</v>
      </c>
      <c r="AB100" s="65" t="s">
        <v>70</v>
      </c>
    </row>
    <row r="101" spans="1:28">
      <c r="A101" s="65" t="s">
        <v>390</v>
      </c>
      <c r="B101" s="65" t="s">
        <v>78</v>
      </c>
      <c r="C101" s="65" t="s">
        <v>278</v>
      </c>
      <c r="D101" s="65" t="s">
        <v>23</v>
      </c>
      <c r="E101" s="65" t="s">
        <v>24</v>
      </c>
      <c r="F101" s="69"/>
      <c r="G101" s="66">
        <v>18</v>
      </c>
      <c r="H101" s="65" t="s">
        <v>140</v>
      </c>
      <c r="I101" s="65" t="s">
        <v>162</v>
      </c>
      <c r="J101" s="65"/>
      <c r="K101" s="67">
        <v>45722</v>
      </c>
      <c r="L101" s="67">
        <v>46567</v>
      </c>
      <c r="M101" s="66">
        <v>288</v>
      </c>
      <c r="N101" s="65" t="s">
        <v>57</v>
      </c>
      <c r="O101" s="65" t="s">
        <v>291</v>
      </c>
      <c r="P101" s="66">
        <v>24</v>
      </c>
      <c r="Q101" s="66">
        <v>23</v>
      </c>
      <c r="R101" s="66">
        <v>1</v>
      </c>
      <c r="S101" s="65" t="s">
        <v>34</v>
      </c>
      <c r="T101" s="65" t="s">
        <v>26</v>
      </c>
      <c r="U101" s="68">
        <v>10560</v>
      </c>
      <c r="V101" s="68">
        <v>253440</v>
      </c>
      <c r="W101" s="65" t="s">
        <v>28</v>
      </c>
      <c r="X101" s="65" t="s">
        <v>57</v>
      </c>
      <c r="Y101" s="69"/>
      <c r="Z101" s="69"/>
      <c r="AA101" s="67">
        <v>46279</v>
      </c>
      <c r="AB101" s="65" t="s">
        <v>70</v>
      </c>
    </row>
    <row r="102" spans="1:28">
      <c r="A102" s="65" t="s">
        <v>391</v>
      </c>
      <c r="B102" s="65" t="s">
        <v>78</v>
      </c>
      <c r="C102" s="65" t="s">
        <v>278</v>
      </c>
      <c r="D102" s="65" t="s">
        <v>23</v>
      </c>
      <c r="E102" s="65" t="s">
        <v>24</v>
      </c>
      <c r="F102" s="69"/>
      <c r="G102" s="66">
        <v>19</v>
      </c>
      <c r="H102" s="65" t="s">
        <v>141</v>
      </c>
      <c r="I102" s="65" t="s">
        <v>163</v>
      </c>
      <c r="J102" s="65"/>
      <c r="K102" s="67">
        <v>44767</v>
      </c>
      <c r="L102" s="67">
        <v>46567</v>
      </c>
      <c r="M102" s="66">
        <v>288</v>
      </c>
      <c r="N102" s="65" t="s">
        <v>57</v>
      </c>
      <c r="O102" s="65" t="s">
        <v>291</v>
      </c>
      <c r="P102" s="66">
        <v>24</v>
      </c>
      <c r="Q102" s="66">
        <v>23</v>
      </c>
      <c r="R102" s="66">
        <v>1</v>
      </c>
      <c r="S102" s="65" t="s">
        <v>34</v>
      </c>
      <c r="T102" s="65" t="s">
        <v>26</v>
      </c>
      <c r="U102" s="68">
        <v>10560</v>
      </c>
      <c r="V102" s="68">
        <v>253440</v>
      </c>
      <c r="W102" s="65" t="s">
        <v>28</v>
      </c>
      <c r="X102" s="65" t="s">
        <v>57</v>
      </c>
      <c r="Y102" s="69"/>
      <c r="Z102" s="69"/>
      <c r="AA102" s="67">
        <v>46279</v>
      </c>
      <c r="AB102" s="65" t="s">
        <v>70</v>
      </c>
    </row>
    <row r="103" spans="1:28">
      <c r="A103" s="65" t="s">
        <v>392</v>
      </c>
      <c r="B103" s="65" t="s">
        <v>78</v>
      </c>
      <c r="C103" s="65" t="s">
        <v>278</v>
      </c>
      <c r="D103" s="65" t="s">
        <v>23</v>
      </c>
      <c r="E103" s="65" t="s">
        <v>24</v>
      </c>
      <c r="F103" s="69"/>
      <c r="G103" s="66">
        <v>20</v>
      </c>
      <c r="H103" s="65" t="s">
        <v>142</v>
      </c>
      <c r="I103" s="65" t="s">
        <v>164</v>
      </c>
      <c r="J103" s="65"/>
      <c r="K103" s="67">
        <v>45722</v>
      </c>
      <c r="L103" s="67">
        <v>46567</v>
      </c>
      <c r="M103" s="66">
        <v>288</v>
      </c>
      <c r="N103" s="65" t="s">
        <v>57</v>
      </c>
      <c r="O103" s="65" t="s">
        <v>291</v>
      </c>
      <c r="P103" s="66">
        <v>24</v>
      </c>
      <c r="Q103" s="66">
        <v>23</v>
      </c>
      <c r="R103" s="66">
        <v>1</v>
      </c>
      <c r="S103" s="65" t="s">
        <v>34</v>
      </c>
      <c r="T103" s="65" t="s">
        <v>26</v>
      </c>
      <c r="U103" s="68">
        <v>10560</v>
      </c>
      <c r="V103" s="68">
        <v>253440</v>
      </c>
      <c r="W103" s="65" t="s">
        <v>28</v>
      </c>
      <c r="X103" s="65" t="s">
        <v>57</v>
      </c>
      <c r="Y103" s="69"/>
      <c r="Z103" s="69"/>
      <c r="AA103" s="67">
        <v>46279</v>
      </c>
      <c r="AB103" s="65" t="s">
        <v>70</v>
      </c>
    </row>
    <row r="104" spans="1:28">
      <c r="A104" s="65" t="s">
        <v>393</v>
      </c>
      <c r="B104" s="65" t="s">
        <v>78</v>
      </c>
      <c r="C104" s="65" t="s">
        <v>278</v>
      </c>
      <c r="D104" s="65" t="s">
        <v>23</v>
      </c>
      <c r="E104" s="65" t="s">
        <v>24</v>
      </c>
      <c r="F104" s="69"/>
      <c r="G104" s="66">
        <v>21</v>
      </c>
      <c r="H104" s="65"/>
      <c r="I104" s="65"/>
      <c r="J104" s="65"/>
      <c r="K104" s="67">
        <v>45722</v>
      </c>
      <c r="L104" s="67">
        <v>46567</v>
      </c>
      <c r="M104" s="66">
        <v>288</v>
      </c>
      <c r="N104" s="65" t="s">
        <v>57</v>
      </c>
      <c r="O104" s="65" t="s">
        <v>394</v>
      </c>
      <c r="P104" s="66">
        <v>24</v>
      </c>
      <c r="Q104" s="66">
        <v>23</v>
      </c>
      <c r="R104" s="66">
        <v>1</v>
      </c>
      <c r="S104" s="65" t="s">
        <v>34</v>
      </c>
      <c r="T104" s="65" t="s">
        <v>26</v>
      </c>
      <c r="U104" s="68">
        <v>10560</v>
      </c>
      <c r="V104" s="68">
        <v>253440</v>
      </c>
      <c r="W104" s="65" t="s">
        <v>28</v>
      </c>
      <c r="X104" s="65" t="s">
        <v>57</v>
      </c>
      <c r="Y104" s="69"/>
      <c r="Z104" s="69"/>
      <c r="AA104" s="67">
        <v>46279</v>
      </c>
      <c r="AB104" s="65" t="s">
        <v>70</v>
      </c>
    </row>
    <row r="105" spans="1:28">
      <c r="A105" s="65" t="s">
        <v>395</v>
      </c>
      <c r="B105" s="65" t="s">
        <v>78</v>
      </c>
      <c r="C105" s="65" t="s">
        <v>278</v>
      </c>
      <c r="D105" s="65" t="s">
        <v>23</v>
      </c>
      <c r="E105" s="65" t="s">
        <v>24</v>
      </c>
      <c r="F105" s="69"/>
      <c r="G105" s="66">
        <v>22</v>
      </c>
      <c r="H105" s="65" t="s">
        <v>144</v>
      </c>
      <c r="I105" s="65" t="s">
        <v>166</v>
      </c>
      <c r="J105" s="65"/>
      <c r="K105" s="67">
        <v>45624</v>
      </c>
      <c r="L105" s="67">
        <v>46567</v>
      </c>
      <c r="M105" s="66">
        <v>288</v>
      </c>
      <c r="N105" s="65" t="s">
        <v>57</v>
      </c>
      <c r="O105" s="65" t="s">
        <v>291</v>
      </c>
      <c r="P105" s="66">
        <v>24</v>
      </c>
      <c r="Q105" s="66">
        <v>23</v>
      </c>
      <c r="R105" s="66">
        <v>1</v>
      </c>
      <c r="S105" s="65" t="s">
        <v>34</v>
      </c>
      <c r="T105" s="65" t="s">
        <v>26</v>
      </c>
      <c r="U105" s="68">
        <v>10560</v>
      </c>
      <c r="V105" s="68">
        <v>253440</v>
      </c>
      <c r="W105" s="65" t="s">
        <v>28</v>
      </c>
      <c r="X105" s="65" t="s">
        <v>57</v>
      </c>
      <c r="Y105" s="69"/>
      <c r="Z105" s="69"/>
      <c r="AA105" s="67">
        <v>46279</v>
      </c>
      <c r="AB105" s="65" t="s">
        <v>70</v>
      </c>
    </row>
    <row r="106" spans="1:28">
      <c r="A106" s="65" t="s">
        <v>396</v>
      </c>
      <c r="B106" s="65" t="s">
        <v>78</v>
      </c>
      <c r="C106" s="65" t="s">
        <v>278</v>
      </c>
      <c r="D106" s="65" t="s">
        <v>23</v>
      </c>
      <c r="E106" s="65" t="s">
        <v>24</v>
      </c>
      <c r="F106" s="69"/>
      <c r="G106" s="66">
        <v>23</v>
      </c>
      <c r="H106" s="65" t="s">
        <v>145</v>
      </c>
      <c r="I106" s="65" t="s">
        <v>167</v>
      </c>
      <c r="J106" s="65"/>
      <c r="K106" s="67">
        <v>45609</v>
      </c>
      <c r="L106" s="67">
        <v>46567</v>
      </c>
      <c r="M106" s="66">
        <v>288</v>
      </c>
      <c r="N106" s="65" t="s">
        <v>57</v>
      </c>
      <c r="O106" s="65" t="s">
        <v>291</v>
      </c>
      <c r="P106" s="66">
        <v>24</v>
      </c>
      <c r="Q106" s="66">
        <v>23</v>
      </c>
      <c r="R106" s="66">
        <v>1</v>
      </c>
      <c r="S106" s="65" t="s">
        <v>34</v>
      </c>
      <c r="T106" s="65" t="s">
        <v>26</v>
      </c>
      <c r="U106" s="68">
        <v>10560</v>
      </c>
      <c r="V106" s="68">
        <v>253440</v>
      </c>
      <c r="W106" s="65" t="s">
        <v>28</v>
      </c>
      <c r="X106" s="65" t="s">
        <v>57</v>
      </c>
      <c r="Y106" s="69"/>
      <c r="Z106" s="69"/>
      <c r="AA106" s="67">
        <v>46279</v>
      </c>
      <c r="AB106" s="65" t="s">
        <v>70</v>
      </c>
    </row>
    <row r="107" spans="1:28">
      <c r="A107" s="65" t="s">
        <v>397</v>
      </c>
      <c r="B107" s="65" t="s">
        <v>78</v>
      </c>
      <c r="C107" s="65" t="s">
        <v>278</v>
      </c>
      <c r="D107" s="65" t="s">
        <v>23</v>
      </c>
      <c r="E107" s="65" t="s">
        <v>24</v>
      </c>
      <c r="F107" s="69"/>
      <c r="G107" s="66">
        <v>24</v>
      </c>
      <c r="H107" s="65" t="s">
        <v>146</v>
      </c>
      <c r="I107" s="65" t="s">
        <v>168</v>
      </c>
      <c r="J107" s="65"/>
      <c r="K107" s="67">
        <v>45965</v>
      </c>
      <c r="L107" s="67">
        <v>46567</v>
      </c>
      <c r="M107" s="66">
        <v>288</v>
      </c>
      <c r="N107" s="65" t="s">
        <v>57</v>
      </c>
      <c r="O107" s="65" t="s">
        <v>291</v>
      </c>
      <c r="P107" s="66">
        <v>24</v>
      </c>
      <c r="Q107" s="66">
        <v>23</v>
      </c>
      <c r="R107" s="66">
        <v>1</v>
      </c>
      <c r="S107" s="65" t="s">
        <v>34</v>
      </c>
      <c r="T107" s="65" t="s">
        <v>26</v>
      </c>
      <c r="U107" s="68">
        <v>10560</v>
      </c>
      <c r="V107" s="68">
        <v>253440</v>
      </c>
      <c r="W107" s="65" t="s">
        <v>28</v>
      </c>
      <c r="X107" s="65" t="s">
        <v>57</v>
      </c>
      <c r="Y107" s="69"/>
      <c r="Z107" s="69"/>
      <c r="AA107" s="67">
        <v>46279</v>
      </c>
      <c r="AB107" s="65" t="s">
        <v>70</v>
      </c>
    </row>
    <row r="108" spans="1:28" ht="28.8">
      <c r="A108" s="65" t="s">
        <v>398</v>
      </c>
      <c r="B108" s="65" t="s">
        <v>399</v>
      </c>
      <c r="C108" s="65" t="s">
        <v>104</v>
      </c>
      <c r="D108" s="65" t="s">
        <v>23</v>
      </c>
      <c r="E108" s="65" t="s">
        <v>24</v>
      </c>
      <c r="F108" s="69" t="s">
        <v>105</v>
      </c>
      <c r="G108" s="66">
        <v>1</v>
      </c>
      <c r="H108" s="65"/>
      <c r="I108" s="65"/>
      <c r="J108" s="65"/>
      <c r="K108" s="67"/>
      <c r="L108" s="67"/>
      <c r="M108" s="66"/>
      <c r="N108" s="65"/>
      <c r="O108" s="65" t="s">
        <v>400</v>
      </c>
      <c r="P108" s="66">
        <v>1</v>
      </c>
      <c r="Q108" s="66">
        <v>1</v>
      </c>
      <c r="R108" s="66">
        <v>0</v>
      </c>
      <c r="S108" s="65" t="s">
        <v>34</v>
      </c>
      <c r="T108" s="65" t="s">
        <v>26</v>
      </c>
      <c r="U108" s="68">
        <v>2200</v>
      </c>
      <c r="V108" s="68">
        <v>2200</v>
      </c>
      <c r="W108" s="65" t="s">
        <v>93</v>
      </c>
      <c r="X108" s="65" t="s">
        <v>57</v>
      </c>
      <c r="Y108" s="69" t="s">
        <v>106</v>
      </c>
      <c r="Z108" s="69"/>
      <c r="AA108" s="67">
        <v>46279</v>
      </c>
      <c r="AB108" s="65" t="s">
        <v>401</v>
      </c>
    </row>
    <row r="109" spans="1:28">
      <c r="A109" s="65" t="s">
        <v>402</v>
      </c>
      <c r="B109" s="65" t="s">
        <v>73</v>
      </c>
      <c r="C109" s="65" t="s">
        <v>278</v>
      </c>
      <c r="D109" s="65" t="s">
        <v>23</v>
      </c>
      <c r="E109" s="65" t="s">
        <v>24</v>
      </c>
      <c r="F109" s="69"/>
      <c r="G109" s="66">
        <v>1</v>
      </c>
      <c r="H109" s="65" t="s">
        <v>127</v>
      </c>
      <c r="I109" s="65" t="s">
        <v>151</v>
      </c>
      <c r="J109" s="65"/>
      <c r="K109" s="67">
        <v>45722</v>
      </c>
      <c r="L109" s="67">
        <v>46567</v>
      </c>
      <c r="M109" s="66">
        <v>288</v>
      </c>
      <c r="N109" s="65" t="s">
        <v>57</v>
      </c>
      <c r="O109" s="65" t="s">
        <v>291</v>
      </c>
      <c r="P109" s="66">
        <v>4</v>
      </c>
      <c r="Q109" s="66">
        <v>4</v>
      </c>
      <c r="R109" s="66">
        <v>0</v>
      </c>
      <c r="S109" s="65" t="s">
        <v>34</v>
      </c>
      <c r="T109" s="65" t="s">
        <v>26</v>
      </c>
      <c r="U109" s="68">
        <v>4737</v>
      </c>
      <c r="V109" s="68">
        <v>18948</v>
      </c>
      <c r="W109" s="65" t="s">
        <v>28</v>
      </c>
      <c r="X109" s="65" t="s">
        <v>57</v>
      </c>
      <c r="Y109" s="69"/>
      <c r="Z109" s="69"/>
      <c r="AA109" s="67">
        <v>46279</v>
      </c>
      <c r="AB109" s="65" t="s">
        <v>70</v>
      </c>
    </row>
    <row r="110" spans="1:28">
      <c r="A110" s="65" t="s">
        <v>403</v>
      </c>
      <c r="B110" s="65" t="s">
        <v>73</v>
      </c>
      <c r="C110" s="65" t="s">
        <v>278</v>
      </c>
      <c r="D110" s="65" t="s">
        <v>23</v>
      </c>
      <c r="E110" s="65" t="s">
        <v>24</v>
      </c>
      <c r="F110" s="69"/>
      <c r="G110" s="66">
        <v>2</v>
      </c>
      <c r="H110" s="65" t="s">
        <v>171</v>
      </c>
      <c r="I110" s="65" t="s">
        <v>169</v>
      </c>
      <c r="J110" s="65"/>
      <c r="K110" s="67">
        <v>46274</v>
      </c>
      <c r="L110" s="67">
        <v>46567</v>
      </c>
      <c r="M110" s="66">
        <v>288</v>
      </c>
      <c r="N110" s="65" t="s">
        <v>57</v>
      </c>
      <c r="O110" s="65" t="s">
        <v>291</v>
      </c>
      <c r="P110" s="66">
        <v>4</v>
      </c>
      <c r="Q110" s="66">
        <v>4</v>
      </c>
      <c r="R110" s="66">
        <v>0</v>
      </c>
      <c r="S110" s="65" t="s">
        <v>34</v>
      </c>
      <c r="T110" s="65" t="s">
        <v>26</v>
      </c>
      <c r="U110" s="68">
        <v>4737</v>
      </c>
      <c r="V110" s="68">
        <v>18948</v>
      </c>
      <c r="W110" s="65" t="s">
        <v>28</v>
      </c>
      <c r="X110" s="65" t="s">
        <v>57</v>
      </c>
      <c r="Y110" s="69"/>
      <c r="Z110" s="69"/>
      <c r="AA110" s="67">
        <v>46279</v>
      </c>
      <c r="AB110" s="65" t="s">
        <v>70</v>
      </c>
    </row>
    <row r="111" spans="1:28">
      <c r="A111" s="65" t="s">
        <v>404</v>
      </c>
      <c r="B111" s="65" t="s">
        <v>73</v>
      </c>
      <c r="C111" s="65" t="s">
        <v>278</v>
      </c>
      <c r="D111" s="65" t="s">
        <v>23</v>
      </c>
      <c r="E111" s="65" t="s">
        <v>24</v>
      </c>
      <c r="F111" s="69"/>
      <c r="G111" s="66">
        <v>3</v>
      </c>
      <c r="H111" s="65" t="s">
        <v>172</v>
      </c>
      <c r="I111" s="65" t="s">
        <v>170</v>
      </c>
      <c r="J111" s="65"/>
      <c r="K111" s="67">
        <v>46274</v>
      </c>
      <c r="L111" s="67">
        <v>46567</v>
      </c>
      <c r="M111" s="66">
        <v>288</v>
      </c>
      <c r="N111" s="65" t="s">
        <v>57</v>
      </c>
      <c r="O111" s="65" t="s">
        <v>291</v>
      </c>
      <c r="P111" s="66">
        <v>4</v>
      </c>
      <c r="Q111" s="66">
        <v>4</v>
      </c>
      <c r="R111" s="66">
        <v>0</v>
      </c>
      <c r="S111" s="65" t="s">
        <v>34</v>
      </c>
      <c r="T111" s="65" t="s">
        <v>26</v>
      </c>
      <c r="U111" s="68">
        <v>4737</v>
      </c>
      <c r="V111" s="68">
        <v>18948</v>
      </c>
      <c r="W111" s="65" t="s">
        <v>28</v>
      </c>
      <c r="X111" s="65" t="s">
        <v>57</v>
      </c>
      <c r="Y111" s="69"/>
      <c r="Z111" s="69"/>
      <c r="AA111" s="67">
        <v>46279</v>
      </c>
      <c r="AB111" s="65" t="s">
        <v>70</v>
      </c>
    </row>
    <row r="112" spans="1:28">
      <c r="A112" s="65" t="s">
        <v>405</v>
      </c>
      <c r="B112" s="65" t="s">
        <v>73</v>
      </c>
      <c r="C112" s="65" t="s">
        <v>278</v>
      </c>
      <c r="D112" s="65" t="s">
        <v>23</v>
      </c>
      <c r="E112" s="65" t="s">
        <v>24</v>
      </c>
      <c r="F112" s="69"/>
      <c r="G112" s="66">
        <v>4</v>
      </c>
      <c r="H112" s="65" t="s">
        <v>142</v>
      </c>
      <c r="I112" s="65" t="s">
        <v>164</v>
      </c>
      <c r="J112" s="65"/>
      <c r="K112" s="67">
        <v>45722</v>
      </c>
      <c r="L112" s="67">
        <v>46567</v>
      </c>
      <c r="M112" s="66">
        <v>288</v>
      </c>
      <c r="N112" s="65" t="s">
        <v>57</v>
      </c>
      <c r="O112" s="65" t="s">
        <v>291</v>
      </c>
      <c r="P112" s="66">
        <v>4</v>
      </c>
      <c r="Q112" s="66">
        <v>4</v>
      </c>
      <c r="R112" s="66">
        <v>0</v>
      </c>
      <c r="S112" s="65" t="s">
        <v>34</v>
      </c>
      <c r="T112" s="65" t="s">
        <v>26</v>
      </c>
      <c r="U112" s="68">
        <v>4737</v>
      </c>
      <c r="V112" s="68">
        <v>18948</v>
      </c>
      <c r="W112" s="65" t="s">
        <v>28</v>
      </c>
      <c r="X112" s="65" t="s">
        <v>57</v>
      </c>
      <c r="Y112" s="69"/>
      <c r="Z112" s="69"/>
      <c r="AA112" s="67">
        <v>46279</v>
      </c>
      <c r="AB112" s="65" t="s">
        <v>70</v>
      </c>
    </row>
    <row r="113" spans="1:28" ht="111.6">
      <c r="A113" s="65" t="s">
        <v>406</v>
      </c>
      <c r="B113" s="65" t="s">
        <v>72</v>
      </c>
      <c r="C113" s="65" t="s">
        <v>74</v>
      </c>
      <c r="D113" s="65" t="s">
        <v>23</v>
      </c>
      <c r="E113" s="65" t="s">
        <v>24</v>
      </c>
      <c r="F113" s="69"/>
      <c r="G113" s="66">
        <v>1</v>
      </c>
      <c r="H113" s="65" t="s">
        <v>87</v>
      </c>
      <c r="I113" s="65" t="s">
        <v>88</v>
      </c>
      <c r="J113" s="65" t="s">
        <v>89</v>
      </c>
      <c r="K113" s="67">
        <v>46220</v>
      </c>
      <c r="L113" s="67">
        <v>46584</v>
      </c>
      <c r="M113" s="66">
        <v>305</v>
      </c>
      <c r="N113" s="65" t="s">
        <v>57</v>
      </c>
      <c r="O113" s="65" t="s">
        <v>291</v>
      </c>
      <c r="P113" s="66">
        <v>1</v>
      </c>
      <c r="Q113" s="66">
        <v>1</v>
      </c>
      <c r="R113" s="66">
        <v>0</v>
      </c>
      <c r="S113" s="65" t="s">
        <v>34</v>
      </c>
      <c r="T113" s="65" t="s">
        <v>26</v>
      </c>
      <c r="U113" s="68">
        <v>176800</v>
      </c>
      <c r="V113" s="68">
        <v>176800</v>
      </c>
      <c r="W113" s="65" t="s">
        <v>28</v>
      </c>
      <c r="X113" s="65" t="s">
        <v>57</v>
      </c>
      <c r="Y113" s="69" t="s">
        <v>75</v>
      </c>
      <c r="Z113" s="69"/>
      <c r="AA113" s="67">
        <v>46279</v>
      </c>
      <c r="AB113" s="65" t="s">
        <v>72</v>
      </c>
    </row>
    <row r="114" spans="1:28">
      <c r="A114" s="65" t="s">
        <v>407</v>
      </c>
      <c r="B114" s="65" t="s">
        <v>91</v>
      </c>
      <c r="C114" s="65" t="s">
        <v>278</v>
      </c>
      <c r="D114" s="65" t="s">
        <v>23</v>
      </c>
      <c r="E114" s="65" t="s">
        <v>33</v>
      </c>
      <c r="F114" s="69"/>
      <c r="G114" s="66">
        <v>1</v>
      </c>
      <c r="H114" s="65" t="s">
        <v>175</v>
      </c>
      <c r="I114" s="65" t="s">
        <v>92</v>
      </c>
      <c r="J114" s="65"/>
      <c r="K114" s="67" t="s">
        <v>92</v>
      </c>
      <c r="L114" s="67"/>
      <c r="M114" s="66"/>
      <c r="N114" s="65" t="s">
        <v>408</v>
      </c>
      <c r="O114" s="65" t="s">
        <v>291</v>
      </c>
      <c r="P114" s="66">
        <v>1</v>
      </c>
      <c r="Q114" s="66">
        <v>1</v>
      </c>
      <c r="R114" s="66">
        <v>0</v>
      </c>
      <c r="S114" s="65" t="s">
        <v>39</v>
      </c>
      <c r="T114" s="65" t="s">
        <v>44</v>
      </c>
      <c r="U114" s="68">
        <v>37000</v>
      </c>
      <c r="V114" s="68">
        <v>37000</v>
      </c>
      <c r="W114" s="65" t="s">
        <v>93</v>
      </c>
      <c r="X114" s="65" t="s">
        <v>57</v>
      </c>
      <c r="Y114" s="69"/>
      <c r="Z114" s="69"/>
      <c r="AA114" s="67">
        <v>46279</v>
      </c>
      <c r="AB114" s="65" t="s">
        <v>70</v>
      </c>
    </row>
    <row r="115" spans="1:28" ht="28.8">
      <c r="A115" s="65" t="s">
        <v>409</v>
      </c>
      <c r="B115" s="65" t="s">
        <v>68</v>
      </c>
      <c r="C115" s="65" t="s">
        <v>281</v>
      </c>
      <c r="D115" s="65" t="s">
        <v>51</v>
      </c>
      <c r="E115" s="65" t="s">
        <v>24</v>
      </c>
      <c r="F115" s="69"/>
      <c r="G115" s="66">
        <v>1</v>
      </c>
      <c r="H115" s="65" t="s">
        <v>94</v>
      </c>
      <c r="I115" s="65" t="s">
        <v>96</v>
      </c>
      <c r="J115" s="65" t="s">
        <v>109</v>
      </c>
      <c r="K115" s="67"/>
      <c r="L115" s="67">
        <v>46504</v>
      </c>
      <c r="M115" s="66">
        <v>225</v>
      </c>
      <c r="N115" s="65" t="s">
        <v>57</v>
      </c>
      <c r="O115" s="65" t="s">
        <v>291</v>
      </c>
      <c r="P115" s="66">
        <v>2</v>
      </c>
      <c r="Q115" s="66">
        <v>2</v>
      </c>
      <c r="R115" s="66">
        <v>0</v>
      </c>
      <c r="S115" s="65" t="s">
        <v>34</v>
      </c>
      <c r="T115" s="65" t="s">
        <v>26</v>
      </c>
      <c r="U115" s="68">
        <v>14000</v>
      </c>
      <c r="V115" s="68">
        <v>28000</v>
      </c>
      <c r="W115" s="65" t="s">
        <v>28</v>
      </c>
      <c r="X115" s="65" t="s">
        <v>57</v>
      </c>
      <c r="Y115" s="69" t="s">
        <v>122</v>
      </c>
      <c r="Z115" s="69"/>
      <c r="AA115" s="67">
        <v>46279</v>
      </c>
      <c r="AB115" s="65" t="s">
        <v>68</v>
      </c>
    </row>
    <row r="116" spans="1:28" ht="28.8">
      <c r="A116" s="65" t="s">
        <v>410</v>
      </c>
      <c r="B116" s="65" t="s">
        <v>68</v>
      </c>
      <c r="C116" s="65" t="s">
        <v>281</v>
      </c>
      <c r="D116" s="65" t="s">
        <v>51</v>
      </c>
      <c r="E116" s="65" t="s">
        <v>24</v>
      </c>
      <c r="F116" s="69"/>
      <c r="G116" s="66">
        <v>2</v>
      </c>
      <c r="H116" s="69" t="s">
        <v>95</v>
      </c>
      <c r="I116" s="65" t="s">
        <v>97</v>
      </c>
      <c r="J116" s="65" t="s">
        <v>120</v>
      </c>
      <c r="K116" s="67"/>
      <c r="L116" s="67">
        <v>46377</v>
      </c>
      <c r="M116" s="66">
        <v>98</v>
      </c>
      <c r="N116" s="65" t="s">
        <v>57</v>
      </c>
      <c r="O116" s="65" t="s">
        <v>291</v>
      </c>
      <c r="P116" s="66">
        <v>2</v>
      </c>
      <c r="Q116" s="66">
        <v>2</v>
      </c>
      <c r="R116" s="66">
        <v>0</v>
      </c>
      <c r="S116" s="65" t="s">
        <v>34</v>
      </c>
      <c r="T116" s="65" t="s">
        <v>26</v>
      </c>
      <c r="U116" s="68">
        <v>14000</v>
      </c>
      <c r="V116" s="68">
        <v>28000</v>
      </c>
      <c r="W116" s="65" t="s">
        <v>28</v>
      </c>
      <c r="X116" s="65" t="s">
        <v>57</v>
      </c>
      <c r="Y116" s="69" t="s">
        <v>122</v>
      </c>
      <c r="Z116" s="69"/>
      <c r="AA116" s="67">
        <v>46279</v>
      </c>
      <c r="AB116" s="65" t="s">
        <v>68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criptIds xmlns="http://schemas.microsoft.com/office/extensibility/maker/v1.0" id="script-ids-node-id">
  <scriptId id="ms-officescript%3A%2F%2Fonedrive_business_itemlink%2F01FDEP5XIINSQIW6KRCVC25OHZSSGKENJ2:ms-officescript%3A%2F%2Fonedrive_business_sharinglink%2Fu!aHR0cHM6Ly9yb3lhbHBodWtldG1hcmluYTIwMDItbXkuc2hhcmVwb2ludC5jb20vOnU6L2cvcGVyc29uYWwvaXRzdXBwb3J0X3JveWFscGh1a2V0bWFyaW5hX2NvbS9JUUFJYktDTGVWRVZSYTY0LVpTTW9qVTZBWk1fMXNyZmVQTjF0Uk9teTFqaE40aw"/>
</scriptIds>
</file>

<file path=customXml/itemProps1.xml><?xml version="1.0" encoding="utf-8"?>
<ds:datastoreItem xmlns:ds="http://schemas.openxmlformats.org/officeDocument/2006/customXml" ds:itemID="{2245C789-841D-4C22-B114-7ADB5BBBB868}">
  <ds:schemaRefs>
    <ds:schemaRef ds:uri="http://schemas.microsoft.com/office/extensibility/maker/v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6</vt:i4>
      </vt:variant>
    </vt:vector>
  </HeadingPairs>
  <TitlesOfParts>
    <vt:vector size="16" baseType="lpstr">
      <vt:lpstr>Dashboard</vt:lpstr>
      <vt:lpstr>License Register</vt:lpstr>
      <vt:lpstr>Microsoft 365</vt:lpstr>
      <vt:lpstr>Acrobat Pro</vt:lpstr>
      <vt:lpstr>Lists</vt:lpstr>
      <vt:lpstr>Trimble SketchUp</vt:lpstr>
      <vt:lpstr>Autodesk CAD LT</vt:lpstr>
      <vt:lpstr>Primavera P6</vt:lpstr>
      <vt:lpstr>Chart Data</vt:lpstr>
      <vt:lpstr>License Raw Data</vt:lpstr>
      <vt:lpstr>BillingCycles</vt:lpstr>
      <vt:lpstr>Currencies</vt:lpstr>
      <vt:lpstr>Departments</vt:lpstr>
      <vt:lpstr>LicenseCategories</vt:lpstr>
      <vt:lpstr>LicenseTypes</vt:lpstr>
      <vt:lpstr>RenewalTypes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Sun-Tanongsak Langei</dc:creator>
  <cp:lastModifiedBy>Sun-Tanongsak Langei</cp:lastModifiedBy>
  <dcterms:created xsi:type="dcterms:W3CDTF">2026-09-09T04:01:28Z</dcterms:created>
  <dcterms:modified xsi:type="dcterms:W3CDTF">2026-09-14T02:34:25Z</dcterms:modified>
</cp:coreProperties>
</file>